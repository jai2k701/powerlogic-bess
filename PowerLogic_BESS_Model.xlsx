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ai_PC\Desktop\BessArbitrageApp\"/>
    </mc:Choice>
  </mc:AlternateContent>
  <xr:revisionPtr revIDLastSave="0" documentId="13_ncr:1_{203E8BB5-6D2D-444E-83D6-7031731D22C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00_Inputs" sheetId="1" r:id="rId1"/>
    <sheet name="01_Sizing" sheetId="2" r:id="rId2"/>
    <sheet name="02_Dispatch" sheetId="3" r:id="rId3"/>
    <sheet name="03_Revenue" sheetId="4" r:id="rId4"/>
    <sheet name="04_Container" sheetId="5" r:id="rId5"/>
    <sheet name="05_Schedule96" sheetId="6" r:id="rId6"/>
    <sheet name="Prices" sheetId="7" r:id="rId7"/>
  </sheets>
  <calcPr calcId="191029"/>
</workbook>
</file>

<file path=xl/calcChain.xml><?xml version="1.0" encoding="utf-8"?>
<calcChain xmlns="http://schemas.openxmlformats.org/spreadsheetml/2006/main">
  <c r="C101" i="6" l="1"/>
  <c r="B101" i="6"/>
  <c r="C100" i="6"/>
  <c r="B100" i="6"/>
  <c r="C99" i="6"/>
  <c r="B99" i="6"/>
  <c r="C98" i="6"/>
  <c r="B98" i="6"/>
  <c r="C97" i="6"/>
  <c r="B97" i="6"/>
  <c r="C96" i="6"/>
  <c r="B96" i="6"/>
  <c r="C95" i="6"/>
  <c r="B95" i="6"/>
  <c r="C94" i="6"/>
  <c r="B94" i="6"/>
  <c r="C93" i="6"/>
  <c r="B93" i="6"/>
  <c r="C92" i="6"/>
  <c r="B92" i="6"/>
  <c r="C91" i="6"/>
  <c r="B91" i="6"/>
  <c r="C90" i="6"/>
  <c r="B90" i="6"/>
  <c r="C89" i="6"/>
  <c r="B89" i="6"/>
  <c r="C88" i="6"/>
  <c r="B88" i="6"/>
  <c r="C87" i="6"/>
  <c r="B87" i="6"/>
  <c r="C86" i="6"/>
  <c r="B86" i="6"/>
  <c r="C85" i="6"/>
  <c r="B85" i="6"/>
  <c r="C84" i="6"/>
  <c r="B84" i="6"/>
  <c r="C83" i="6"/>
  <c r="B83" i="6"/>
  <c r="C82" i="6"/>
  <c r="B82" i="6"/>
  <c r="C81" i="6"/>
  <c r="B81" i="6"/>
  <c r="C80" i="6"/>
  <c r="B80" i="6"/>
  <c r="C79" i="6"/>
  <c r="B79" i="6"/>
  <c r="C78" i="6"/>
  <c r="B78" i="6"/>
  <c r="C77" i="6"/>
  <c r="B77" i="6"/>
  <c r="C76" i="6"/>
  <c r="B76" i="6"/>
  <c r="C75" i="6"/>
  <c r="B75" i="6"/>
  <c r="C74" i="6"/>
  <c r="B74" i="6"/>
  <c r="C73" i="6"/>
  <c r="B73" i="6"/>
  <c r="C72" i="6"/>
  <c r="B72" i="6"/>
  <c r="C71" i="6"/>
  <c r="B71" i="6"/>
  <c r="C70" i="6"/>
  <c r="B70" i="6"/>
  <c r="C69" i="6"/>
  <c r="B69" i="6"/>
  <c r="C68" i="6"/>
  <c r="B68" i="6"/>
  <c r="C67" i="6"/>
  <c r="B67" i="6"/>
  <c r="C66" i="6"/>
  <c r="B66" i="6"/>
  <c r="C65" i="6"/>
  <c r="B65" i="6"/>
  <c r="C64" i="6"/>
  <c r="B64" i="6"/>
  <c r="C63" i="6"/>
  <c r="B63" i="6"/>
  <c r="C62" i="6"/>
  <c r="B62" i="6"/>
  <c r="C61" i="6"/>
  <c r="B61" i="6"/>
  <c r="C60" i="6"/>
  <c r="B60" i="6"/>
  <c r="C59" i="6"/>
  <c r="B59" i="6"/>
  <c r="C58" i="6"/>
  <c r="B58" i="6"/>
  <c r="C57" i="6"/>
  <c r="B57" i="6"/>
  <c r="C56" i="6"/>
  <c r="B56" i="6"/>
  <c r="C55" i="6"/>
  <c r="B55" i="6"/>
  <c r="C54" i="6"/>
  <c r="B54" i="6"/>
  <c r="C53" i="6"/>
  <c r="B53" i="6"/>
  <c r="C52" i="6"/>
  <c r="B52" i="6"/>
  <c r="C51" i="6"/>
  <c r="B51" i="6"/>
  <c r="C50" i="6"/>
  <c r="B50" i="6"/>
  <c r="C49" i="6"/>
  <c r="B49" i="6"/>
  <c r="C48" i="6"/>
  <c r="B48" i="6"/>
  <c r="C47" i="6"/>
  <c r="B47" i="6"/>
  <c r="C46" i="6"/>
  <c r="B46" i="6"/>
  <c r="C45" i="6"/>
  <c r="B45" i="6"/>
  <c r="C44" i="6"/>
  <c r="B44" i="6"/>
  <c r="C43" i="6"/>
  <c r="B43" i="6"/>
  <c r="C42" i="6"/>
  <c r="B42" i="6"/>
  <c r="C41" i="6"/>
  <c r="B41" i="6"/>
  <c r="C40" i="6"/>
  <c r="B40" i="6"/>
  <c r="C39" i="6"/>
  <c r="B39" i="6"/>
  <c r="C38" i="6"/>
  <c r="B38" i="6"/>
  <c r="C37" i="6"/>
  <c r="B37" i="6"/>
  <c r="C36" i="6"/>
  <c r="B36" i="6"/>
  <c r="C35" i="6"/>
  <c r="B35" i="6"/>
  <c r="C34" i="6"/>
  <c r="B34" i="6"/>
  <c r="C33" i="6"/>
  <c r="B33" i="6"/>
  <c r="C32" i="6"/>
  <c r="B32" i="6"/>
  <c r="C31" i="6"/>
  <c r="B31" i="6"/>
  <c r="C30" i="6"/>
  <c r="B30" i="6"/>
  <c r="C29" i="6"/>
  <c r="B29" i="6"/>
  <c r="C28" i="6"/>
  <c r="B28" i="6"/>
  <c r="C27" i="6"/>
  <c r="B27" i="6"/>
  <c r="C26" i="6"/>
  <c r="B26" i="6"/>
  <c r="C25" i="6"/>
  <c r="B25" i="6"/>
  <c r="C24" i="6"/>
  <c r="B24" i="6"/>
  <c r="C23" i="6"/>
  <c r="B23" i="6"/>
  <c r="C22" i="6"/>
  <c r="B22" i="6"/>
  <c r="C21" i="6"/>
  <c r="B21" i="6"/>
  <c r="C20" i="6"/>
  <c r="B20" i="6"/>
  <c r="C19" i="6"/>
  <c r="B19" i="6"/>
  <c r="C18" i="6"/>
  <c r="B18" i="6"/>
  <c r="C17" i="6"/>
  <c r="B17" i="6"/>
  <c r="C16" i="6"/>
  <c r="B16" i="6"/>
  <c r="C15" i="6"/>
  <c r="B15" i="6"/>
  <c r="C14" i="6"/>
  <c r="B14" i="6"/>
  <c r="C13" i="6"/>
  <c r="B13" i="6"/>
  <c r="C12" i="6"/>
  <c r="B12" i="6"/>
  <c r="C11" i="6"/>
  <c r="B11" i="6"/>
  <c r="C10" i="6"/>
  <c r="B10" i="6"/>
  <c r="C9" i="6"/>
  <c r="B9" i="6"/>
  <c r="C8" i="6"/>
  <c r="B8" i="6"/>
  <c r="C7" i="6"/>
  <c r="B7" i="6"/>
  <c r="C6" i="6"/>
  <c r="B6" i="6"/>
  <c r="F18" i="5"/>
  <c r="F19" i="5" s="1"/>
  <c r="F20" i="5" s="1"/>
  <c r="F21" i="5" s="1"/>
  <c r="E18" i="5"/>
  <c r="E19" i="5" s="1"/>
  <c r="E20" i="5" s="1"/>
  <c r="E21" i="5" s="1"/>
  <c r="G10" i="5"/>
  <c r="H10" i="5" s="1"/>
  <c r="F10" i="5"/>
  <c r="F11" i="5" s="1"/>
  <c r="F12" i="5" s="1"/>
  <c r="F13" i="5" s="1"/>
  <c r="E10" i="5"/>
  <c r="E11" i="5" s="1"/>
  <c r="E12" i="5" s="1"/>
  <c r="E13" i="5" s="1"/>
  <c r="G9" i="5"/>
  <c r="H9" i="5" s="1"/>
  <c r="G5" i="5"/>
  <c r="B13" i="4"/>
  <c r="C44" i="3"/>
  <c r="B44" i="3"/>
  <c r="G44" i="3" s="1"/>
  <c r="H44" i="3" s="1"/>
  <c r="C43" i="3"/>
  <c r="B43" i="3"/>
  <c r="C42" i="3"/>
  <c r="B42" i="3"/>
  <c r="F42" i="3" s="1"/>
  <c r="C41" i="3"/>
  <c r="D41" i="3" s="1"/>
  <c r="B41" i="3"/>
  <c r="G41" i="3" s="1"/>
  <c r="H41" i="3" s="1"/>
  <c r="C40" i="3"/>
  <c r="B40" i="3"/>
  <c r="G40" i="3" s="1"/>
  <c r="H40" i="3" s="1"/>
  <c r="F39" i="3"/>
  <c r="D39" i="3"/>
  <c r="C39" i="3"/>
  <c r="B39" i="3"/>
  <c r="C38" i="3"/>
  <c r="B38" i="3"/>
  <c r="F38" i="3" s="1"/>
  <c r="D37" i="3"/>
  <c r="C37" i="3"/>
  <c r="B37" i="3"/>
  <c r="I36" i="3"/>
  <c r="M36" i="3" s="1"/>
  <c r="E36" i="3"/>
  <c r="C36" i="3"/>
  <c r="B36" i="3"/>
  <c r="C35" i="3"/>
  <c r="B35" i="3"/>
  <c r="E34" i="3"/>
  <c r="D34" i="3"/>
  <c r="C34" i="3"/>
  <c r="B34" i="3"/>
  <c r="I34" i="3" s="1"/>
  <c r="C33" i="3"/>
  <c r="D33" i="3" s="1"/>
  <c r="B33" i="3"/>
  <c r="I33" i="3" s="1"/>
  <c r="C32" i="3"/>
  <c r="B32" i="3"/>
  <c r="E32" i="3" s="1"/>
  <c r="C31" i="3"/>
  <c r="B31" i="3"/>
  <c r="C30" i="3"/>
  <c r="B30" i="3"/>
  <c r="I30" i="3" s="1"/>
  <c r="C29" i="3"/>
  <c r="D29" i="3" s="1"/>
  <c r="B29" i="3"/>
  <c r="I29" i="3" s="1"/>
  <c r="C28" i="3"/>
  <c r="B28" i="3"/>
  <c r="D27" i="3"/>
  <c r="C27" i="3"/>
  <c r="B27" i="3"/>
  <c r="I26" i="3"/>
  <c r="M26" i="3" s="1"/>
  <c r="E26" i="3"/>
  <c r="C26" i="3"/>
  <c r="B26" i="3"/>
  <c r="E25" i="3"/>
  <c r="D25" i="3"/>
  <c r="C25" i="3"/>
  <c r="B25" i="3"/>
  <c r="I24" i="3"/>
  <c r="E24" i="3"/>
  <c r="C24" i="3"/>
  <c r="B24" i="3"/>
  <c r="C23" i="3"/>
  <c r="B23" i="3"/>
  <c r="E22" i="3"/>
  <c r="C22" i="3"/>
  <c r="B22" i="3"/>
  <c r="I22" i="3" s="1"/>
  <c r="M22" i="3" s="1"/>
  <c r="I21" i="3"/>
  <c r="F9" i="6" s="1"/>
  <c r="C21" i="3"/>
  <c r="D9" i="6" s="1"/>
  <c r="B21" i="3"/>
  <c r="C61" i="2"/>
  <c r="E61" i="2" s="1"/>
  <c r="B61" i="2"/>
  <c r="C60" i="2"/>
  <c r="E60" i="2" s="1"/>
  <c r="B60" i="2"/>
  <c r="H60" i="2" s="1"/>
  <c r="C59" i="2"/>
  <c r="E59" i="2" s="1"/>
  <c r="B59" i="2"/>
  <c r="H59" i="2" s="1"/>
  <c r="E58" i="2"/>
  <c r="F58" i="2" s="1"/>
  <c r="C58" i="2"/>
  <c r="B58" i="2"/>
  <c r="H58" i="2" s="1"/>
  <c r="C57" i="2"/>
  <c r="E57" i="2" s="1"/>
  <c r="B57" i="2"/>
  <c r="C56" i="2"/>
  <c r="E56" i="2" s="1"/>
  <c r="B56" i="2"/>
  <c r="H56" i="2" s="1"/>
  <c r="C55" i="2"/>
  <c r="E55" i="2" s="1"/>
  <c r="B55" i="2"/>
  <c r="F55" i="2" s="1"/>
  <c r="F54" i="2"/>
  <c r="E54" i="2"/>
  <c r="C54" i="2"/>
  <c r="B54" i="2"/>
  <c r="C53" i="2"/>
  <c r="E53" i="2" s="1"/>
  <c r="B53" i="2"/>
  <c r="C52" i="2"/>
  <c r="E52" i="2" s="1"/>
  <c r="B52" i="2"/>
  <c r="F52" i="2" s="1"/>
  <c r="C51" i="2"/>
  <c r="E51" i="2" s="1"/>
  <c r="B51" i="2"/>
  <c r="F51" i="2" s="1"/>
  <c r="F50" i="2"/>
  <c r="E50" i="2"/>
  <c r="C50" i="2"/>
  <c r="B50" i="2"/>
  <c r="C49" i="2"/>
  <c r="E49" i="2" s="1"/>
  <c r="B49" i="2"/>
  <c r="F49" i="2" s="1"/>
  <c r="F48" i="2"/>
  <c r="C48" i="2"/>
  <c r="E48" i="2" s="1"/>
  <c r="B48" i="2"/>
  <c r="C47" i="2"/>
  <c r="E47" i="2" s="1"/>
  <c r="B47" i="2"/>
  <c r="F47" i="2" s="1"/>
  <c r="C46" i="2"/>
  <c r="E46" i="2" s="1"/>
  <c r="B46" i="2"/>
  <c r="F46" i="2" s="1"/>
  <c r="C45" i="2"/>
  <c r="E45" i="2" s="1"/>
  <c r="B45" i="2"/>
  <c r="F45" i="2" s="1"/>
  <c r="E44" i="2"/>
  <c r="C44" i="2"/>
  <c r="B44" i="2"/>
  <c r="F44" i="2" s="1"/>
  <c r="C43" i="2"/>
  <c r="E43" i="2" s="1"/>
  <c r="B43" i="2"/>
  <c r="F43" i="2" s="1"/>
  <c r="C42" i="2"/>
  <c r="E42" i="2" s="1"/>
  <c r="B42" i="2"/>
  <c r="F42" i="2" s="1"/>
  <c r="C41" i="2"/>
  <c r="E41" i="2" s="1"/>
  <c r="B41" i="2"/>
  <c r="F41" i="2" s="1"/>
  <c r="F40" i="2"/>
  <c r="C40" i="2"/>
  <c r="E40" i="2" s="1"/>
  <c r="B40" i="2"/>
  <c r="E39" i="2"/>
  <c r="C39" i="2"/>
  <c r="B39" i="2"/>
  <c r="F39" i="2" s="1"/>
  <c r="F38" i="2"/>
  <c r="E38" i="2"/>
  <c r="C38" i="2"/>
  <c r="B38" i="2"/>
  <c r="B35" i="1"/>
  <c r="B36" i="1" s="1"/>
  <c r="B20" i="1"/>
  <c r="C7" i="1"/>
  <c r="F60" i="2" l="1"/>
  <c r="E29" i="3"/>
  <c r="E30" i="3"/>
  <c r="M30" i="3" s="1"/>
  <c r="E38" i="3"/>
  <c r="E41" i="3"/>
  <c r="G42" i="3"/>
  <c r="H42" i="3" s="1"/>
  <c r="D6" i="6"/>
  <c r="E33" i="3"/>
  <c r="M33" i="3" s="1"/>
  <c r="G38" i="3"/>
  <c r="H38" i="3" s="1"/>
  <c r="E75" i="6" s="1"/>
  <c r="D8" i="6"/>
  <c r="D21" i="3"/>
  <c r="E42" i="3"/>
  <c r="E21" i="3"/>
  <c r="M21" i="3" s="1"/>
  <c r="I35" i="3"/>
  <c r="E35" i="3"/>
  <c r="H55" i="2"/>
  <c r="F56" i="2"/>
  <c r="D21" i="6"/>
  <c r="D20" i="6"/>
  <c r="D19" i="6"/>
  <c r="D18" i="6"/>
  <c r="D24" i="3"/>
  <c r="E28" i="3"/>
  <c r="I28" i="3"/>
  <c r="F40" i="6"/>
  <c r="F38" i="6"/>
  <c r="F41" i="6"/>
  <c r="F39" i="6"/>
  <c r="M29" i="3"/>
  <c r="D49" i="6"/>
  <c r="D48" i="6"/>
  <c r="D47" i="6"/>
  <c r="D46" i="6"/>
  <c r="D31" i="3"/>
  <c r="E37" i="3"/>
  <c r="I37" i="3"/>
  <c r="E85" i="6"/>
  <c r="E84" i="6"/>
  <c r="E83" i="6"/>
  <c r="E82" i="6"/>
  <c r="E89" i="6"/>
  <c r="E88" i="6"/>
  <c r="E87" i="6"/>
  <c r="E86" i="6"/>
  <c r="L41" i="3"/>
  <c r="E93" i="6"/>
  <c r="E92" i="6"/>
  <c r="E91" i="6"/>
  <c r="E90" i="6"/>
  <c r="F53" i="2"/>
  <c r="D13" i="6"/>
  <c r="D12" i="6"/>
  <c r="D11" i="6"/>
  <c r="D10" i="6"/>
  <c r="D22" i="3"/>
  <c r="F21" i="6"/>
  <c r="F20" i="6"/>
  <c r="F19" i="6"/>
  <c r="F18" i="6"/>
  <c r="M24" i="3"/>
  <c r="F60" i="6"/>
  <c r="F59" i="6"/>
  <c r="F61" i="6"/>
  <c r="F58" i="6"/>
  <c r="M34" i="3"/>
  <c r="D77" i="6"/>
  <c r="D76" i="6"/>
  <c r="D75" i="6"/>
  <c r="D74" i="6"/>
  <c r="D38" i="3"/>
  <c r="F59" i="2"/>
  <c r="E77" i="6"/>
  <c r="E76" i="6"/>
  <c r="L38" i="3"/>
  <c r="D85" i="6"/>
  <c r="D84" i="6"/>
  <c r="D83" i="6"/>
  <c r="D82" i="6"/>
  <c r="D40" i="3"/>
  <c r="L40" i="3" s="1"/>
  <c r="E43" i="3"/>
  <c r="G43" i="3"/>
  <c r="H43" i="3" s="1"/>
  <c r="F43" i="3"/>
  <c r="G18" i="5"/>
  <c r="F13" i="6"/>
  <c r="F12" i="6"/>
  <c r="F11" i="6"/>
  <c r="F10" i="6"/>
  <c r="I23" i="3"/>
  <c r="E23" i="3"/>
  <c r="D29" i="6"/>
  <c r="D28" i="6"/>
  <c r="D27" i="6"/>
  <c r="D26" i="6"/>
  <c r="D37" i="6"/>
  <c r="D36" i="6"/>
  <c r="D35" i="6"/>
  <c r="D34" i="6"/>
  <c r="D28" i="3"/>
  <c r="F57" i="6"/>
  <c r="F55" i="6"/>
  <c r="F56" i="6"/>
  <c r="F54" i="6"/>
  <c r="D65" i="6"/>
  <c r="D64" i="6"/>
  <c r="D63" i="6"/>
  <c r="D62" i="6"/>
  <c r="E39" i="3"/>
  <c r="G39" i="3"/>
  <c r="H39" i="3" s="1"/>
  <c r="E40" i="3"/>
  <c r="F41" i="3"/>
  <c r="D93" i="6"/>
  <c r="D92" i="6"/>
  <c r="D91" i="6"/>
  <c r="D90" i="6"/>
  <c r="D97" i="6"/>
  <c r="D96" i="6"/>
  <c r="D95" i="6"/>
  <c r="D94" i="6"/>
  <c r="D43" i="3"/>
  <c r="E44" i="3"/>
  <c r="G11" i="5"/>
  <c r="F7" i="6"/>
  <c r="F57" i="2"/>
  <c r="F61" i="2"/>
  <c r="F8" i="6"/>
  <c r="F6" i="6"/>
  <c r="D17" i="6"/>
  <c r="D16" i="6"/>
  <c r="D15" i="6"/>
  <c r="D14" i="6"/>
  <c r="D26" i="3"/>
  <c r="F29" i="6"/>
  <c r="F28" i="6"/>
  <c r="F27" i="6"/>
  <c r="F26" i="6"/>
  <c r="I27" i="3"/>
  <c r="E27" i="3"/>
  <c r="D45" i="6"/>
  <c r="D44" i="6"/>
  <c r="D43" i="6"/>
  <c r="D42" i="6"/>
  <c r="D53" i="6"/>
  <c r="D52" i="6"/>
  <c r="D51" i="6"/>
  <c r="D50" i="6"/>
  <c r="D32" i="3"/>
  <c r="I32" i="3"/>
  <c r="D35" i="3"/>
  <c r="D81" i="6"/>
  <c r="D80" i="6"/>
  <c r="D79" i="6"/>
  <c r="D78" i="6"/>
  <c r="F40" i="3"/>
  <c r="D42" i="3"/>
  <c r="L42" i="3" s="1"/>
  <c r="F44" i="3"/>
  <c r="H57" i="2"/>
  <c r="H61" i="2"/>
  <c r="H42" i="2"/>
  <c r="D23" i="3"/>
  <c r="F25" i="3" s="1"/>
  <c r="I25" i="3"/>
  <c r="D33" i="6"/>
  <c r="D32" i="6"/>
  <c r="D31" i="6"/>
  <c r="D30" i="6"/>
  <c r="D30" i="3"/>
  <c r="F44" i="6"/>
  <c r="F42" i="6"/>
  <c r="F45" i="6"/>
  <c r="F43" i="6"/>
  <c r="I31" i="3"/>
  <c r="E31" i="3"/>
  <c r="D61" i="6"/>
  <c r="D60" i="6"/>
  <c r="D59" i="6"/>
  <c r="D58" i="6"/>
  <c r="D69" i="6"/>
  <c r="D68" i="6"/>
  <c r="D67" i="6"/>
  <c r="D66" i="6"/>
  <c r="D36" i="3"/>
  <c r="F68" i="6"/>
  <c r="F66" i="6"/>
  <c r="F67" i="6"/>
  <c r="F69" i="6"/>
  <c r="E101" i="6"/>
  <c r="E100" i="6"/>
  <c r="E99" i="6"/>
  <c r="E98" i="6"/>
  <c r="D101" i="6"/>
  <c r="D100" i="6"/>
  <c r="D99" i="6"/>
  <c r="D98" i="6"/>
  <c r="D25" i="6"/>
  <c r="D24" i="6"/>
  <c r="D23" i="6"/>
  <c r="D22" i="6"/>
  <c r="D41" i="6"/>
  <c r="D40" i="6"/>
  <c r="D39" i="6"/>
  <c r="D38" i="6"/>
  <c r="D57" i="6"/>
  <c r="D56" i="6"/>
  <c r="D55" i="6"/>
  <c r="D54" i="6"/>
  <c r="D73" i="6"/>
  <c r="D72" i="6"/>
  <c r="D71" i="6"/>
  <c r="D70" i="6"/>
  <c r="D89" i="6"/>
  <c r="D88" i="6"/>
  <c r="D87" i="6"/>
  <c r="D86" i="6"/>
  <c r="D44" i="3"/>
  <c r="L44" i="3" s="1"/>
  <c r="D7" i="6"/>
  <c r="F28" i="3" l="1"/>
  <c r="F29" i="3"/>
  <c r="E74" i="6"/>
  <c r="F35" i="3"/>
  <c r="F32" i="3"/>
  <c r="H11" i="5"/>
  <c r="G12" i="5"/>
  <c r="E81" i="6"/>
  <c r="E80" i="6"/>
  <c r="E79" i="6"/>
  <c r="E78" i="6"/>
  <c r="L39" i="3"/>
  <c r="F26" i="3"/>
  <c r="F33" i="3"/>
  <c r="C6" i="2"/>
  <c r="H38" i="2"/>
  <c r="F22" i="3"/>
  <c r="F30" i="3"/>
  <c r="F37" i="3"/>
  <c r="F64" i="6"/>
  <c r="F62" i="6"/>
  <c r="F63" i="6"/>
  <c r="F65" i="6"/>
  <c r="M35" i="3"/>
  <c r="E97" i="6"/>
  <c r="E96" i="6"/>
  <c r="E95" i="6"/>
  <c r="E94" i="6"/>
  <c r="L43" i="3"/>
  <c r="H44" i="2"/>
  <c r="H49" i="2"/>
  <c r="H47" i="2"/>
  <c r="F25" i="6"/>
  <c r="F24" i="6"/>
  <c r="F23" i="6"/>
  <c r="F22" i="6"/>
  <c r="M25" i="3"/>
  <c r="H50" i="2"/>
  <c r="F34" i="3"/>
  <c r="M23" i="3"/>
  <c r="F17" i="6"/>
  <c r="F16" i="6"/>
  <c r="F15" i="6"/>
  <c r="F14" i="6"/>
  <c r="F21" i="3"/>
  <c r="F31" i="3"/>
  <c r="H43" i="2"/>
  <c r="H40" i="2"/>
  <c r="H45" i="2"/>
  <c r="H39" i="2"/>
  <c r="F48" i="6"/>
  <c r="F46" i="6"/>
  <c r="F49" i="6"/>
  <c r="F47" i="6"/>
  <c r="M31" i="3"/>
  <c r="F37" i="6"/>
  <c r="F36" i="6"/>
  <c r="F35" i="6"/>
  <c r="F34" i="6"/>
  <c r="M28" i="3"/>
  <c r="H41" i="2"/>
  <c r="H48" i="2"/>
  <c r="H54" i="2"/>
  <c r="M27" i="3"/>
  <c r="F33" i="6"/>
  <c r="F32" i="6"/>
  <c r="F31" i="6"/>
  <c r="F30" i="6"/>
  <c r="F36" i="3"/>
  <c r="F23" i="3"/>
  <c r="H46" i="2"/>
  <c r="F53" i="6"/>
  <c r="F52" i="6"/>
  <c r="F50" i="6"/>
  <c r="F51" i="6"/>
  <c r="M32" i="3"/>
  <c r="H18" i="5"/>
  <c r="G19" i="5"/>
  <c r="H52" i="2"/>
  <c r="H53" i="2"/>
  <c r="F70" i="6"/>
  <c r="F73" i="6"/>
  <c r="F72" i="6"/>
  <c r="F71" i="6"/>
  <c r="M37" i="3"/>
  <c r="F24" i="3"/>
  <c r="H51" i="2"/>
  <c r="F27" i="3"/>
  <c r="D31" i="2" l="1"/>
  <c r="C7" i="2"/>
  <c r="C8" i="2" s="1"/>
  <c r="C10" i="2" s="1"/>
  <c r="H19" i="5"/>
  <c r="G20" i="5"/>
  <c r="H12" i="5"/>
  <c r="G13" i="5"/>
  <c r="H13" i="5" s="1"/>
  <c r="C5" i="5" s="1"/>
  <c r="C11" i="2" s="1"/>
  <c r="C29" i="2" l="1"/>
  <c r="C34" i="2" s="1"/>
  <c r="C32" i="2"/>
  <c r="H20" i="5"/>
  <c r="G21" i="5"/>
  <c r="H21" i="5" s="1"/>
  <c r="C31" i="2"/>
  <c r="C9" i="2"/>
  <c r="G49" i="2"/>
  <c r="G41" i="2"/>
  <c r="C16" i="2"/>
  <c r="G40" i="2"/>
  <c r="G44" i="2"/>
  <c r="G38" i="2"/>
  <c r="G42" i="2"/>
  <c r="G45" i="2"/>
  <c r="G58" i="2"/>
  <c r="G52" i="2"/>
  <c r="G46" i="2"/>
  <c r="G43" i="2"/>
  <c r="G54" i="2"/>
  <c r="G60" i="2"/>
  <c r="G48" i="2"/>
  <c r="G47" i="2"/>
  <c r="G39" i="2"/>
  <c r="G55" i="2"/>
  <c r="G50" i="2"/>
  <c r="G51" i="2"/>
  <c r="G53" i="2"/>
  <c r="G56" i="2"/>
  <c r="G57" i="2"/>
  <c r="G61" i="2"/>
  <c r="G59" i="2"/>
  <c r="B13" i="1" l="1"/>
  <c r="C12" i="2"/>
  <c r="C13" i="2" s="1"/>
  <c r="B14" i="4" l="1"/>
  <c r="C23" i="2"/>
  <c r="C24" i="2" s="1"/>
  <c r="C25" i="2" s="1"/>
  <c r="D25" i="2" s="1"/>
  <c r="C14" i="2"/>
  <c r="B14" i="1"/>
  <c r="C28" i="2"/>
  <c r="C30" i="2" s="1"/>
  <c r="C33" i="2" s="1"/>
  <c r="C15" i="2"/>
  <c r="N22" i="4" l="1"/>
  <c r="F22" i="4"/>
  <c r="G22" i="4"/>
  <c r="M22" i="4"/>
  <c r="H22" i="4"/>
  <c r="J22" i="4"/>
  <c r="K22" i="4"/>
  <c r="I22" i="4"/>
  <c r="D22" i="4"/>
  <c r="E22" i="4"/>
  <c r="C22" i="4"/>
  <c r="L22" i="4"/>
  <c r="B6" i="4"/>
  <c r="C6" i="3"/>
  <c r="C7" i="3" s="1"/>
  <c r="G28" i="3" l="1"/>
  <c r="H28" i="3" s="1"/>
  <c r="G29" i="3"/>
  <c r="H29" i="3" s="1"/>
  <c r="G35" i="3"/>
  <c r="G25" i="3"/>
  <c r="G34" i="3"/>
  <c r="G24" i="3"/>
  <c r="G32" i="3"/>
  <c r="G26" i="3"/>
  <c r="H26" i="3" s="1"/>
  <c r="G36" i="3"/>
  <c r="G22" i="3"/>
  <c r="H22" i="3" s="1"/>
  <c r="G27" i="3"/>
  <c r="H27" i="3" s="1"/>
  <c r="G37" i="3"/>
  <c r="H37" i="3" s="1"/>
  <c r="G30" i="3"/>
  <c r="H30" i="3" s="1"/>
  <c r="G21" i="3"/>
  <c r="H21" i="3" s="1"/>
  <c r="G33" i="3"/>
  <c r="G31" i="3"/>
  <c r="G23" i="3"/>
  <c r="H23" i="3" s="1"/>
  <c r="M23" i="4"/>
  <c r="I23" i="4"/>
  <c r="E23" i="4"/>
  <c r="B16" i="4"/>
  <c r="L23" i="4"/>
  <c r="H23" i="4"/>
  <c r="D23" i="4"/>
  <c r="J23" i="4"/>
  <c r="B24" i="4"/>
  <c r="G23" i="4"/>
  <c r="N23" i="4"/>
  <c r="F23" i="4"/>
  <c r="K23" i="4"/>
  <c r="C23" i="4"/>
  <c r="E17" i="6" l="1"/>
  <c r="E16" i="6"/>
  <c r="E15" i="6"/>
  <c r="E14" i="6"/>
  <c r="N23" i="3"/>
  <c r="L23" i="3"/>
  <c r="E44" i="6"/>
  <c r="E42" i="6"/>
  <c r="N30" i="3"/>
  <c r="E45" i="6"/>
  <c r="E43" i="6"/>
  <c r="L30" i="3"/>
  <c r="E73" i="6"/>
  <c r="E72" i="6"/>
  <c r="E71" i="6"/>
  <c r="E70" i="6"/>
  <c r="N37" i="3"/>
  <c r="L37" i="3"/>
  <c r="E29" i="6"/>
  <c r="E28" i="6"/>
  <c r="E27" i="6"/>
  <c r="E26" i="6"/>
  <c r="N26" i="3"/>
  <c r="L26" i="3"/>
  <c r="E33" i="6"/>
  <c r="E32" i="6"/>
  <c r="E31" i="6"/>
  <c r="E30" i="6"/>
  <c r="N27" i="3"/>
  <c r="L27" i="3"/>
  <c r="B25" i="4"/>
  <c r="E9" i="6"/>
  <c r="E8" i="6"/>
  <c r="E7" i="6"/>
  <c r="E6" i="6"/>
  <c r="J21" i="3"/>
  <c r="N21" i="3"/>
  <c r="L21" i="3"/>
  <c r="E13" i="6"/>
  <c r="E12" i="6"/>
  <c r="E11" i="6"/>
  <c r="E10" i="6"/>
  <c r="N22" i="3"/>
  <c r="L22" i="3"/>
  <c r="H24" i="3"/>
  <c r="E40" i="6"/>
  <c r="E38" i="6"/>
  <c r="E41" i="6"/>
  <c r="E39" i="6"/>
  <c r="L29" i="3"/>
  <c r="N29" i="3"/>
  <c r="E37" i="6"/>
  <c r="E36" i="6"/>
  <c r="E35" i="6"/>
  <c r="E34" i="6"/>
  <c r="L28" i="3"/>
  <c r="N28" i="3"/>
  <c r="I34" i="6" l="1"/>
  <c r="G34" i="6"/>
  <c r="I38" i="6"/>
  <c r="G38" i="6"/>
  <c r="I13" i="6"/>
  <c r="G13" i="6"/>
  <c r="J22" i="3"/>
  <c r="K21" i="3"/>
  <c r="H6" i="6"/>
  <c r="H7" i="6"/>
  <c r="H9" i="6"/>
  <c r="H11" i="6"/>
  <c r="H8" i="6"/>
  <c r="I9" i="6"/>
  <c r="G9" i="6"/>
  <c r="I31" i="6"/>
  <c r="G31" i="6"/>
  <c r="I28" i="6"/>
  <c r="G28" i="6"/>
  <c r="I35" i="6"/>
  <c r="G35" i="6"/>
  <c r="I40" i="6"/>
  <c r="G40" i="6"/>
  <c r="I10" i="6"/>
  <c r="G10" i="6"/>
  <c r="I6" i="6"/>
  <c r="G6" i="6"/>
  <c r="I33" i="6"/>
  <c r="G33" i="6"/>
  <c r="I72" i="6"/>
  <c r="G72" i="6"/>
  <c r="I17" i="6"/>
  <c r="G17" i="6"/>
  <c r="I32" i="6"/>
  <c r="G32" i="6"/>
  <c r="I29" i="6"/>
  <c r="G29" i="6"/>
  <c r="I71" i="6"/>
  <c r="G71" i="6"/>
  <c r="I45" i="6"/>
  <c r="G45" i="6"/>
  <c r="I16" i="6"/>
  <c r="G16" i="6"/>
  <c r="I36" i="6"/>
  <c r="G36" i="6"/>
  <c r="I39" i="6"/>
  <c r="G39" i="6"/>
  <c r="E21" i="6"/>
  <c r="E20" i="6"/>
  <c r="E19" i="6"/>
  <c r="E18" i="6"/>
  <c r="L24" i="3"/>
  <c r="N24" i="3"/>
  <c r="I11" i="6"/>
  <c r="G11" i="6"/>
  <c r="I7" i="6"/>
  <c r="G7" i="6"/>
  <c r="I26" i="6"/>
  <c r="G26" i="6"/>
  <c r="I37" i="6"/>
  <c r="G37" i="6"/>
  <c r="I41" i="6"/>
  <c r="G41" i="6"/>
  <c r="I12" i="6"/>
  <c r="G12" i="6"/>
  <c r="I8" i="6"/>
  <c r="G8" i="6"/>
  <c r="I30" i="6"/>
  <c r="G30" i="6"/>
  <c r="I27" i="6"/>
  <c r="G27" i="6"/>
  <c r="I73" i="6"/>
  <c r="G73" i="6"/>
  <c r="I42" i="6"/>
  <c r="G42" i="6"/>
  <c r="I14" i="6"/>
  <c r="G14" i="6"/>
  <c r="I70" i="6"/>
  <c r="G70" i="6"/>
  <c r="I43" i="6"/>
  <c r="G43" i="6"/>
  <c r="I44" i="6"/>
  <c r="G44" i="6"/>
  <c r="I15" i="6"/>
  <c r="G15" i="6"/>
  <c r="H25" i="3"/>
  <c r="E25" i="6" l="1"/>
  <c r="E24" i="6"/>
  <c r="E23" i="6"/>
  <c r="E22" i="6"/>
  <c r="N25" i="3"/>
  <c r="L25" i="3"/>
  <c r="J23" i="3"/>
  <c r="H17" i="6" s="1"/>
  <c r="K22" i="3"/>
  <c r="H15" i="6"/>
  <c r="H14" i="6"/>
  <c r="I19" i="6"/>
  <c r="G19" i="6"/>
  <c r="I18" i="6"/>
  <c r="G18" i="6"/>
  <c r="I20" i="6"/>
  <c r="G20" i="6"/>
  <c r="H12" i="6"/>
  <c r="H13" i="6"/>
  <c r="H31" i="3"/>
  <c r="I21" i="6"/>
  <c r="G21" i="6"/>
  <c r="H10" i="6"/>
  <c r="H16" i="6" l="1"/>
  <c r="I23" i="6"/>
  <c r="G23" i="6"/>
  <c r="I24" i="6"/>
  <c r="G24" i="6"/>
  <c r="J24" i="3"/>
  <c r="K23" i="3"/>
  <c r="H21" i="6"/>
  <c r="H19" i="6"/>
  <c r="H20" i="6"/>
  <c r="H18" i="6"/>
  <c r="I25" i="6"/>
  <c r="G25" i="6"/>
  <c r="E48" i="6"/>
  <c r="E46" i="6"/>
  <c r="E49" i="6"/>
  <c r="E47" i="6"/>
  <c r="L31" i="3"/>
  <c r="N31" i="3"/>
  <c r="H32" i="3"/>
  <c r="I22" i="6"/>
  <c r="G22" i="6"/>
  <c r="E53" i="6" l="1"/>
  <c r="E51" i="6"/>
  <c r="E52" i="6"/>
  <c r="E50" i="6"/>
  <c r="L32" i="3"/>
  <c r="N32" i="3"/>
  <c r="H33" i="3"/>
  <c r="I48" i="6"/>
  <c r="G48" i="6"/>
  <c r="K24" i="3"/>
  <c r="J25" i="3"/>
  <c r="H24" i="6"/>
  <c r="H23" i="6"/>
  <c r="H22" i="6"/>
  <c r="I47" i="6"/>
  <c r="G47" i="6"/>
  <c r="I49" i="6"/>
  <c r="G49" i="6"/>
  <c r="I46" i="6"/>
  <c r="G46" i="6"/>
  <c r="J26" i="3" l="1"/>
  <c r="K25" i="3"/>
  <c r="H29" i="6"/>
  <c r="H28" i="6"/>
  <c r="H27" i="6"/>
  <c r="H26" i="6"/>
  <c r="G50" i="6"/>
  <c r="I50" i="6"/>
  <c r="E57" i="6"/>
  <c r="E55" i="6"/>
  <c r="E56" i="6"/>
  <c r="E54" i="6"/>
  <c r="L33" i="3"/>
  <c r="N33" i="3"/>
  <c r="H34" i="3"/>
  <c r="I52" i="6"/>
  <c r="G52" i="6"/>
  <c r="I51" i="6"/>
  <c r="G51" i="6"/>
  <c r="H25" i="6"/>
  <c r="I53" i="6"/>
  <c r="G53" i="6"/>
  <c r="E60" i="6" l="1"/>
  <c r="E59" i="6"/>
  <c r="E61" i="6"/>
  <c r="E58" i="6"/>
  <c r="N34" i="3"/>
  <c r="L34" i="3"/>
  <c r="H35" i="3"/>
  <c r="I56" i="6"/>
  <c r="G56" i="6"/>
  <c r="I55" i="6"/>
  <c r="G55" i="6"/>
  <c r="I57" i="6"/>
  <c r="G57" i="6"/>
  <c r="K26" i="3"/>
  <c r="J27" i="3"/>
  <c r="H33" i="6" s="1"/>
  <c r="H30" i="6"/>
  <c r="H32" i="6"/>
  <c r="I54" i="6"/>
  <c r="G54" i="6"/>
  <c r="I58" i="6" l="1"/>
  <c r="G58" i="6"/>
  <c r="E64" i="6"/>
  <c r="E63" i="6"/>
  <c r="E62" i="6"/>
  <c r="E65" i="6"/>
  <c r="N35" i="3"/>
  <c r="L35" i="3"/>
  <c r="H36" i="3"/>
  <c r="I61" i="6"/>
  <c r="G61" i="6"/>
  <c r="J28" i="3"/>
  <c r="K27" i="3"/>
  <c r="H35" i="6"/>
  <c r="H34" i="6"/>
  <c r="I59" i="6"/>
  <c r="G59" i="6"/>
  <c r="H31" i="6"/>
  <c r="I60" i="6"/>
  <c r="G60" i="6"/>
  <c r="K28" i="3" l="1"/>
  <c r="J29" i="3"/>
  <c r="H41" i="6"/>
  <c r="H39" i="6"/>
  <c r="H40" i="6"/>
  <c r="H38" i="6"/>
  <c r="I63" i="6"/>
  <c r="G63" i="6"/>
  <c r="H36" i="6"/>
  <c r="I64" i="6"/>
  <c r="G64" i="6"/>
  <c r="H37" i="6"/>
  <c r="I65" i="6"/>
  <c r="G65" i="6"/>
  <c r="E68" i="6"/>
  <c r="E67" i="6"/>
  <c r="E66" i="6"/>
  <c r="E69" i="6"/>
  <c r="L36" i="3"/>
  <c r="C10" i="3" s="1"/>
  <c r="N36" i="3"/>
  <c r="C8" i="3"/>
  <c r="C14" i="3" s="1"/>
  <c r="I62" i="6"/>
  <c r="G62" i="6"/>
  <c r="I68" i="6" l="1"/>
  <c r="G68" i="6"/>
  <c r="I69" i="6"/>
  <c r="G69" i="6"/>
  <c r="J30" i="3"/>
  <c r="K29" i="3"/>
  <c r="H45" i="6"/>
  <c r="H44" i="6"/>
  <c r="H43" i="6"/>
  <c r="H42" i="6"/>
  <c r="I67" i="6"/>
  <c r="G67" i="6"/>
  <c r="I66" i="6"/>
  <c r="G66" i="6"/>
  <c r="J31" i="3" l="1"/>
  <c r="H46" i="6" s="1"/>
  <c r="K30" i="3"/>
  <c r="H47" i="6"/>
  <c r="H48" i="6" l="1"/>
  <c r="J32" i="3"/>
  <c r="H51" i="6" s="1"/>
  <c r="K31" i="3"/>
  <c r="H49" i="6"/>
  <c r="H52" i="6" l="1"/>
  <c r="J33" i="3"/>
  <c r="H54" i="6" s="1"/>
  <c r="K32" i="3"/>
  <c r="H53" i="6"/>
  <c r="H50" i="6"/>
  <c r="H55" i="6" l="1"/>
  <c r="J34" i="3"/>
  <c r="K33" i="3"/>
  <c r="H60" i="6"/>
  <c r="H58" i="6"/>
  <c r="H56" i="6"/>
  <c r="H57" i="6"/>
  <c r="J35" i="3" l="1"/>
  <c r="K34" i="3"/>
  <c r="H65" i="6"/>
  <c r="H62" i="6"/>
  <c r="H64" i="6"/>
  <c r="H63" i="6"/>
  <c r="H59" i="6"/>
  <c r="H61" i="6"/>
  <c r="K35" i="3" l="1"/>
  <c r="J36" i="3"/>
  <c r="H69" i="6"/>
  <c r="H68" i="6"/>
  <c r="H67" i="6"/>
  <c r="H66" i="6"/>
  <c r="J37" i="3" l="1"/>
  <c r="K36" i="3"/>
  <c r="H73" i="6"/>
  <c r="H72" i="6"/>
  <c r="H70" i="6"/>
  <c r="H71" i="6"/>
  <c r="K37" i="3" l="1"/>
  <c r="I38" i="3"/>
  <c r="F77" i="6" l="1"/>
  <c r="F76" i="6"/>
  <c r="F75" i="6"/>
  <c r="F74" i="6"/>
  <c r="M38" i="3"/>
  <c r="N38" i="3"/>
  <c r="J38" i="3"/>
  <c r="K38" i="3" l="1"/>
  <c r="I39" i="3"/>
  <c r="H74" i="6"/>
  <c r="H76" i="6"/>
  <c r="H75" i="6"/>
  <c r="H77" i="6"/>
  <c r="G74" i="6"/>
  <c r="I74" i="6"/>
  <c r="I76" i="6"/>
  <c r="G76" i="6"/>
  <c r="G77" i="6"/>
  <c r="I77" i="6"/>
  <c r="I75" i="6"/>
  <c r="G75" i="6"/>
  <c r="F81" i="6" l="1"/>
  <c r="F80" i="6"/>
  <c r="F79" i="6"/>
  <c r="F78" i="6"/>
  <c r="M39" i="3"/>
  <c r="N39" i="3"/>
  <c r="J39" i="3"/>
  <c r="I40" i="3" l="1"/>
  <c r="K39" i="3"/>
  <c r="H81" i="6"/>
  <c r="H80" i="6"/>
  <c r="H79" i="6"/>
  <c r="H78" i="6"/>
  <c r="I78" i="6"/>
  <c r="G78" i="6"/>
  <c r="G81" i="6"/>
  <c r="I81" i="6"/>
  <c r="I79" i="6"/>
  <c r="G79" i="6"/>
  <c r="G80" i="6"/>
  <c r="I80" i="6"/>
  <c r="F85" i="6" l="1"/>
  <c r="F84" i="6"/>
  <c r="F83" i="6"/>
  <c r="F82" i="6"/>
  <c r="M40" i="3"/>
  <c r="N40" i="3"/>
  <c r="J40" i="3"/>
  <c r="I83" i="6" l="1"/>
  <c r="G83" i="6"/>
  <c r="I41" i="3"/>
  <c r="K40" i="3"/>
  <c r="H84" i="6"/>
  <c r="H83" i="6"/>
  <c r="H82" i="6"/>
  <c r="H85" i="6"/>
  <c r="I84" i="6"/>
  <c r="G84" i="6"/>
  <c r="G82" i="6"/>
  <c r="I82" i="6"/>
  <c r="I85" i="6"/>
  <c r="G85" i="6"/>
  <c r="F89" i="6" l="1"/>
  <c r="F88" i="6"/>
  <c r="F87" i="6"/>
  <c r="F86" i="6"/>
  <c r="M41" i="3"/>
  <c r="N41" i="3"/>
  <c r="J41" i="3"/>
  <c r="G87" i="6" l="1"/>
  <c r="I87" i="6"/>
  <c r="K41" i="3"/>
  <c r="I42" i="3"/>
  <c r="J42" i="3" s="1"/>
  <c r="H87" i="6"/>
  <c r="H86" i="6"/>
  <c r="H89" i="6"/>
  <c r="H88" i="6"/>
  <c r="I88" i="6"/>
  <c r="G88" i="6"/>
  <c r="I86" i="6"/>
  <c r="G86" i="6"/>
  <c r="G89" i="6"/>
  <c r="I89" i="6"/>
  <c r="K42" i="3" l="1"/>
  <c r="I43" i="3"/>
  <c r="H90" i="6"/>
  <c r="H91" i="6"/>
  <c r="H93" i="6"/>
  <c r="H92" i="6"/>
  <c r="F93" i="6"/>
  <c r="F92" i="6"/>
  <c r="F91" i="6"/>
  <c r="F90" i="6"/>
  <c r="M42" i="3"/>
  <c r="N42" i="3"/>
  <c r="G93" i="6" l="1"/>
  <c r="I93" i="6"/>
  <c r="I90" i="6"/>
  <c r="G90" i="6"/>
  <c r="F97" i="6"/>
  <c r="F96" i="6"/>
  <c r="F95" i="6"/>
  <c r="F94" i="6"/>
  <c r="M43" i="3"/>
  <c r="N43" i="3"/>
  <c r="I91" i="6"/>
  <c r="G91" i="6"/>
  <c r="J43" i="3"/>
  <c r="I92" i="6"/>
  <c r="G92" i="6"/>
  <c r="G94" i="6" l="1"/>
  <c r="I94" i="6"/>
  <c r="G95" i="6"/>
  <c r="I95" i="6"/>
  <c r="I96" i="6"/>
  <c r="G96" i="6"/>
  <c r="K43" i="3"/>
  <c r="I44" i="3"/>
  <c r="J44" i="3" s="1"/>
  <c r="H96" i="6"/>
  <c r="H97" i="6"/>
  <c r="H95" i="6"/>
  <c r="H94" i="6"/>
  <c r="I97" i="6"/>
  <c r="G97" i="6"/>
  <c r="H101" i="6" l="1"/>
  <c r="H99" i="6"/>
  <c r="H100" i="6"/>
  <c r="K44" i="3"/>
  <c r="C17" i="3"/>
  <c r="H98" i="6"/>
  <c r="F101" i="6"/>
  <c r="F100" i="6"/>
  <c r="F99" i="6"/>
  <c r="F98" i="6"/>
  <c r="M44" i="3"/>
  <c r="C11" i="3" s="1"/>
  <c r="C12" i="3" s="1"/>
  <c r="C13" i="3" s="1"/>
  <c r="N44" i="3"/>
  <c r="C9" i="3"/>
  <c r="I99" i="6" l="1"/>
  <c r="G99" i="6"/>
  <c r="G98" i="6"/>
  <c r="I98" i="6"/>
  <c r="C15" i="3"/>
  <c r="C16" i="3" s="1"/>
  <c r="I100" i="6"/>
  <c r="G100" i="6"/>
  <c r="M21" i="4"/>
  <c r="M24" i="4" s="1"/>
  <c r="I21" i="4"/>
  <c r="I24" i="4" s="1"/>
  <c r="E21" i="4"/>
  <c r="E24" i="4" s="1"/>
  <c r="B12" i="4"/>
  <c r="B15" i="4" s="1"/>
  <c r="B17" i="4" s="1"/>
  <c r="L21" i="4"/>
  <c r="L24" i="4" s="1"/>
  <c r="H21" i="4"/>
  <c r="H24" i="4" s="1"/>
  <c r="D21" i="4"/>
  <c r="D24" i="4" s="1"/>
  <c r="J21" i="4"/>
  <c r="J24" i="4" s="1"/>
  <c r="G21" i="4"/>
  <c r="G24" i="4" s="1"/>
  <c r="N21" i="4"/>
  <c r="N24" i="4" s="1"/>
  <c r="F21" i="4"/>
  <c r="F24" i="4" s="1"/>
  <c r="K21" i="4"/>
  <c r="K24" i="4" s="1"/>
  <c r="C21" i="4"/>
  <c r="C24" i="4" s="1"/>
  <c r="G101" i="6"/>
  <c r="I101" i="6"/>
  <c r="B5" i="4" l="1"/>
  <c r="B8" i="4"/>
  <c r="B9" i="4"/>
  <c r="C25" i="4"/>
  <c r="D25" i="4" s="1"/>
  <c r="E25" i="4" s="1"/>
  <c r="F25" i="4" s="1"/>
  <c r="G25" i="4" s="1"/>
  <c r="H25" i="4" s="1"/>
  <c r="I25" i="4" s="1"/>
  <c r="J25" i="4" s="1"/>
  <c r="K25" i="4" s="1"/>
  <c r="L25" i="4" s="1"/>
  <c r="M25" i="4" s="1"/>
  <c r="N25" i="4" s="1"/>
  <c r="B7" i="4" s="1"/>
</calcChain>
</file>

<file path=xl/sharedStrings.xml><?xml version="1.0" encoding="utf-8"?>
<sst xmlns="http://schemas.openxmlformats.org/spreadsheetml/2006/main" count="276" uniqueCount="247">
  <si>
    <t>POWERLOGIC BESS · INDIAN POWER MARKET</t>
  </si>
  <si>
    <t>Industrial BESS Model — MSEDCL (Maharashtra) — all-formula workbook</t>
  </si>
  <si>
    <t>Legend:  blue = input you edit · yellow = key levers · black = formula · green = link to another sheet.</t>
  </si>
  <si>
    <t>Mirrors github.com/jai2k701/powerlogic-bess (Modules 00 sizing · 01 dispatch · 02 revenue).</t>
  </si>
  <si>
    <t>MARKET</t>
  </si>
  <si>
    <t>Price day (1=Typical, 2=Summer, 3=Monsoon)</t>
  </si>
  <si>
    <t>Representative IEX DAM shapes on the Prices sheet — assumptions, not live data</t>
  </si>
  <si>
    <t>BATTERY</t>
  </si>
  <si>
    <t>Power — manual (MW)</t>
  </si>
  <si>
    <t>Energy — manual (MWh)</t>
  </si>
  <si>
    <t>Use Module-00 suggested size? (1=yes, 0=manual)</t>
  </si>
  <si>
    <t>1 → dispatch &amp; revenue take P/E from the 01_Sizing sheet</t>
  </si>
  <si>
    <t>Round-trip efficiency</t>
  </si>
  <si>
    <t>Losses applied on discharge</t>
  </si>
  <si>
    <t>Power used by model (MW)</t>
  </si>
  <si>
    <t>Feeds 02_Dispatch and 03_Revenue</t>
  </si>
  <si>
    <t>Energy used by model (MWh)</t>
  </si>
  <si>
    <t>Installed (container-rounded) energy when the switch is 1</t>
  </si>
  <si>
    <t>MSEDCL TARIFF — HT INDUSTRIAL (FY2026-27 ORDER)</t>
  </si>
  <si>
    <t>Base energy charge (₹/kWh)</t>
  </si>
  <si>
    <t>Source: MSEDCL tariff order via powerlogic DB (user)</t>
  </si>
  <si>
    <t>ToD peak multiplier (17:00–24:00)</t>
  </si>
  <si>
    <t>ToD solar multiplier (09:00–17:00)</t>
  </si>
  <si>
    <t>Apr–Sep −15%; set 0.75 for Oct–Mar (−25%)</t>
  </si>
  <si>
    <t>Open-access adders (₹/kWh)</t>
  </si>
  <si>
    <t>33 kV: STU 0.52 + wheeling 0.81 + CSS 2.07 + green cess 0.25. 132/220 kV ≈ 2.84. 7.5% wheeling loss in kind not modelled</t>
  </si>
  <si>
    <t>Peak tariff (₹/kWh)</t>
  </si>
  <si>
    <t>Derived — the discharge value in the peak window</t>
  </si>
  <si>
    <t>SIZING (MODULE 00)</t>
  </si>
  <si>
    <t>Contract demand (MW)</t>
  </si>
  <si>
    <t>Night load 00–06 (MW)</t>
  </si>
  <si>
    <t>Day load 06–17 (MW)</t>
  </si>
  <si>
    <t>Evening load 17–24 (MW)</t>
  </si>
  <si>
    <t>MSEDCL peak-window load — the replacement target</t>
  </si>
  <si>
    <t>Peak coverage target</t>
  </si>
  <si>
    <t>Share of 17–24 h consumption the BESS should serve</t>
  </si>
  <si>
    <t>SoC min</t>
  </si>
  <si>
    <t>Lower state-of-charge buffer protecting cell health</t>
  </si>
  <si>
    <t>SoC max</t>
  </si>
  <si>
    <t>Usable SoC window = SoC max − SoC min (doc: 10–90% → 80%)</t>
  </si>
  <si>
    <t>SoH — design</t>
  </si>
  <si>
    <t>Sizing holds at this State of Health (≈90% after 4,000 cycles)</t>
  </si>
  <si>
    <t>Container C-rate</t>
  </si>
  <si>
    <t>0.25C = 4-h product → 1.25 MW per 5 MWh container</t>
  </si>
  <si>
    <t>LOSSES — FROM THE BESS REFERENCE DOC</t>
  </si>
  <si>
    <t>Transformer loss</t>
  </si>
  <si>
    <t>Transmission / cable loss</t>
  </si>
  <si>
    <t>Standby &amp; auxiliary</t>
  </si>
  <si>
    <t>HVAC, BMS, controls — % of throughput</t>
  </si>
  <si>
    <t>External efficiency (one way)</t>
  </si>
  <si>
    <t>Transformer × transmission × auxiliary ≈ 95.6%</t>
  </si>
  <si>
    <t>Overall system RTE</t>
  </si>
  <si>
    <t>Every 1 MWh bought returns ≈ this much at the meter (doc: ~86%)</t>
  </si>
  <si>
    <t>FINANCIALS</t>
  </si>
  <si>
    <t>Capex (₹ Cr per MWh)</t>
  </si>
  <si>
    <t>O&amp;M (% of capex per year)</t>
  </si>
  <si>
    <t>Operating days per year</t>
  </si>
  <si>
    <t>Battery degradation per year</t>
  </si>
  <si>
    <t>Discount rate (for NPV)</t>
  </si>
  <si>
    <t>OTHER VALUE STREAMS (MODULE 02)</t>
  </si>
  <si>
    <t>Billing demand shaved (kVA)</t>
  </si>
  <si>
    <t>Demand charge (₹/kVA/month)</t>
  </si>
  <si>
    <t>Check your MSEDCL bill for the exact category rate</t>
  </si>
  <si>
    <t>Outage cover shifted from DG (hrs/yr)</t>
  </si>
  <si>
    <t>DG generation cost (₹/kWh)</t>
  </si>
  <si>
    <t>MODULE 00 · SIZING</t>
  </si>
  <si>
    <t>BESS size to replace MSEDCL peak-window (17:00–24:00) consumption</t>
  </si>
  <si>
    <t>The battery must serve the 7-hour peak AND recharge through contract-demand headroom in the other 17 hours.</t>
  </si>
  <si>
    <t>RESULTS</t>
  </si>
  <si>
    <t>Peak energy at 100% coverage (MWh)</t>
  </si>
  <si>
    <t>Σ min(load, contract) over 17–24 h</t>
  </si>
  <si>
    <t>Recharge headroom available (MWh)</t>
  </si>
  <si>
    <t>Σ min(contract − load, BESS power at target coverage) over non-peak hours</t>
  </si>
  <si>
    <t>Max feasible coverage</t>
  </si>
  <si>
    <t>Coverage whose grid recharge (meter ÷ ext-eff ÷ RTE ÷ ext-eff) fits the headroom</t>
  </si>
  <si>
    <t>Suggested power (MW)</t>
  </si>
  <si>
    <t>Max BESS output in the peak window, rounded up to 0.5 MW</t>
  </si>
  <si>
    <t>Energy needed — nameplate (MWh)</t>
  </si>
  <si>
    <t>Meter demand ÷ external eff ÷ (SoC window × SoH) — doc formula</t>
  </si>
  <si>
    <t>Container rating (MWh)</t>
  </si>
  <si>
    <t>5 MWh container from the container build-up sheet</t>
  </si>
  <si>
    <t>Containers required</t>
  </si>
  <si>
    <t>Larger of energy need and C-rate power need (0.25C → 1.25 MW per container)</t>
  </si>
  <si>
    <t>Installed energy (MWh)</t>
  </si>
  <si>
    <t>Feeds dispatch &amp; revenue when the Inputs switch = 1</t>
  </si>
  <si>
    <t>Duration (h)</t>
  </si>
  <si>
    <t>installed, vs the 7-h MSEDCL peak window</t>
  </si>
  <si>
    <t>Indicative capex (₹ Cr)</t>
  </si>
  <si>
    <t>on installed energy, +5% contingency</t>
  </si>
  <si>
    <t>Feasibility check</t>
  </si>
  <si>
    <t>PCS CONFIGURATION — MARKET-AVAILABLE UNITS (1500 V DC CLASS)</t>
  </si>
  <si>
    <t>PCS unit rating (MW)</t>
  </si>
  <si>
    <t>Market blocks: 0.25 (string) · 1.25 · 2.5 · 3.45 · 5.0 MW skids</t>
  </si>
  <si>
    <t>Containers per PCS (block size)</t>
  </si>
  <si>
    <t>Reference doc: 1 block = 4 containers + 1 PCS</t>
  </si>
  <si>
    <t>PCS sizing margin over duty</t>
  </si>
  <si>
    <t>Doc sizes the inverter at 1.20 × continuous power</t>
  </si>
  <si>
    <t>Redundant units (N+1 → enter 1)</t>
  </si>
  <si>
    <t>PCS units required</t>
  </si>
  <si>
    <t>Larger of the power method and the block (containers ÷ per-PCS) method</t>
  </si>
  <si>
    <t>PCS installed (MW)</t>
  </si>
  <si>
    <t>System C-rate (PCS ÷ installed energy)</t>
  </si>
  <si>
    <t>CHARGING-CYCLE VALIDATION &amp; ENERGY REALITY — INDIAN (MSEDCL) OPERATING DAY</t>
  </si>
  <si>
    <t>Usable energy per cycle (MWh)</t>
  </si>
  <si>
    <t>Installed × SoC window × SoH — doc: usable ≠ installed</t>
  </si>
  <si>
    <t>Battery-side duty per day (MWh)</t>
  </si>
  <si>
    <t>Meter demand grossed up by transformer/transmission/auxiliary</t>
  </si>
  <si>
    <t>Cycles per day implied</t>
  </si>
  <si>
    <t>LFP warranty ≈ 6,000–8,000 cycles: 1/day ≈ 18+ yrs, 2/day ≈ 9–10 yrs</t>
  </si>
  <si>
    <t>Grid purchase per day (MWh) — energy you PAY for</t>
  </si>
  <si>
    <t>Delivered at meter per day (MWh) — energy that OFFSETS tariff</t>
  </si>
  <si>
    <t>Overall system RTE = delivered ÷ purchased ≈ doc's ~86% figure</t>
  </si>
  <si>
    <t>Cycle verdict</t>
  </si>
  <si>
    <t>Containers if 2 cycles/day were usable</t>
  </si>
  <si>
    <t>Needs a second premium window (dual-peak states, RTM stacking) — not available under MSEDCL's single 17–24 peak</t>
  </si>
  <si>
    <t>24-HOUR LOAD PROFILE</t>
  </si>
  <si>
    <t>Blue Override column: type a value to shape an hour individually; leave blank to use the block load.</t>
  </si>
  <si>
    <t>Hour</t>
  </si>
  <si>
    <t>Window</t>
  </si>
  <si>
    <t>Block load (MW)</t>
  </si>
  <si>
    <t>Override (MW)</t>
  </si>
  <si>
    <t>Load (MW)</t>
  </si>
  <si>
    <t>Servable @100% (MW)</t>
  </si>
  <si>
    <t>Served by BESS (MW)</t>
  </si>
  <si>
    <t>Recharge headroom (MW)</t>
  </si>
  <si>
    <t>Notes</t>
  </si>
  <si>
    <t>Headroom is evaluated at the target-coverage power (one pass); the app scans coverage levels — results match on typical profiles.</t>
  </si>
  <si>
    <t>MODULE 01 · DISPATCH</t>
  </si>
  <si>
    <t>Charge on the exchange, discharge behind the meter against MSEDCL ToD</t>
  </si>
  <si>
    <t>Charges the cheapest non-peak landed hours — only while landed cost &lt; RTE × peak tariff (marginal profitability) — then discharges through the 17–24 h peak. Single daily cycle: MSEDCL has one evening peak.</t>
  </si>
  <si>
    <t>DAY RESULT</t>
  </si>
  <si>
    <t>Deliverable energy target (MWh)</t>
  </si>
  <si>
    <t>SoC the 7-hour peak window can actually discharge</t>
  </si>
  <si>
    <t>Charge hours needed</t>
  </si>
  <si>
    <t>Energy drawn from exchange (MWh)</t>
  </si>
  <si>
    <t>Energy delivered in peak (MWh)</t>
  </si>
  <si>
    <t>Charge cost (₹/day)</t>
  </si>
  <si>
    <t>landed, incl. open access</t>
  </si>
  <si>
    <t>Avoided tariff value (₹/day)</t>
  </si>
  <si>
    <t>Net saving per day (₹ lakh)</t>
  </si>
  <si>
    <t>Net saving per year (₹ Cr)</t>
  </si>
  <si>
    <t>feeds 03_Revenue arbitrage line</t>
  </si>
  <si>
    <t>Avg charge cost (₹/kWh)</t>
  </si>
  <si>
    <t>Avg discharge value (₹/kWh)</t>
  </si>
  <si>
    <t>Effective spread after losses (₹/kWh)</t>
  </si>
  <si>
    <t>per kWh delivered</t>
  </si>
  <si>
    <t>End-of-day state of charge</t>
  </si>
  <si>
    <t>≈0% means nothing bought that could not be sold</t>
  </si>
  <si>
    <t>IEX MCP (₹/kWh)</t>
  </si>
  <si>
    <t>Landed (₹/kWh)</t>
  </si>
  <si>
    <t>ToD tariff (₹/kWh)</t>
  </si>
  <si>
    <t>Charge rank</t>
  </si>
  <si>
    <t>Charge hour?</t>
  </si>
  <si>
    <t>Charge (MW)</t>
  </si>
  <si>
    <t>Discharge (MW)</t>
  </si>
  <si>
    <t>SoC (MWh)</t>
  </si>
  <si>
    <t>SoC (%)</t>
  </si>
  <si>
    <t>Charge cost (₹)</t>
  </si>
  <si>
    <t>Avoided (₹)</t>
  </si>
  <si>
    <t>Action</t>
  </si>
  <si>
    <t>Simplification vs the app: the app pairs marginal charge/discharge hours and can add a small night→morning cycle; this sheet charges the N cheapest profitable non-peak hours for the single evening peak. Difference is typically &lt;5%.</t>
  </si>
  <si>
    <t>MODULE 02 · REVENUE MODEL</t>
  </si>
  <si>
    <t>The savings case on one slide — value stack, payback, 12-year IRR</t>
  </si>
  <si>
    <t>HEADLINE</t>
  </si>
  <si>
    <t>Annual savings, year 1 (₹ Cr)</t>
  </si>
  <si>
    <t>Investment (₹ Cr)</t>
  </si>
  <si>
    <t>capex incl. 5% contingency</t>
  </si>
  <si>
    <t>Payback year</t>
  </si>
  <si>
    <t>Project IRR (12-yr)</t>
  </si>
  <si>
    <t>NPV at discount rate (₹ Cr)</t>
  </si>
  <si>
    <t>VALUE STACK — YEAR 1 (₹ Cr / yr)</t>
  </si>
  <si>
    <t xml:space="preserve">  Exchange arbitrage vs ToD tariff</t>
  </si>
  <si>
    <t xml:space="preserve">  Demand charge reduction</t>
  </si>
  <si>
    <t>kVA shaved × ₹/kVA/mo × 12</t>
  </si>
  <si>
    <t xml:space="preserve">  Diesel backup displaced</t>
  </si>
  <si>
    <t>DG hours × MW × (DG cost − grid tariff)</t>
  </si>
  <si>
    <t>Gross savings</t>
  </si>
  <si>
    <t>Less: O&amp;M year 1</t>
  </si>
  <si>
    <t>Net savings year 1</t>
  </si>
  <si>
    <t>12-YEAR CASH FLOW (₹ Cr)</t>
  </si>
  <si>
    <t>Line</t>
  </si>
  <si>
    <t>Y0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</si>
  <si>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</si>
  <si>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</si>
  <si>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</si>
  <si>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</si>
  <si>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</si>
  <si>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</si>
  <si>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</si>
  <si>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</si>
  <si>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</si>
  <si>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</si>
  <si>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</si>
  <si>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</si>
  <si>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Arbitrage (degrades with battery)</t>
  </si>
  <si>
    <t>Demand charge + DG displacement</t>
  </si>
  <si>
    <t>O&amp;M (escalates 5%/yr)</t>
  </si>
  <si>
    <t>Net cash flow</t>
  </si>
  <si>
    <t>Cumulative cash</t>
  </si>
  <si>
    <t>Fixed streams held flat; arbitrage degrades with the battery; O&amp;M escalates 5%/yr — same treatment as the app.</t>
  </si>
  <si>
    <t>MODULE 00A · CONTAINER BUILD-UP</t>
  </si>
  <si>
    <t>5 MWh BESS container — 314 Ah LFP cell electrical build-up</t>
  </si>
  <si>
    <t>Source: user's "BESS 5 MWH Container Calculation.xlsx". Edit the blue cell specs / counts and the container rating flows into 01_Sizing.</t>
  </si>
  <si>
    <t>Container nameplate (MWh)</t>
  </si>
  <si>
    <t>Cells per container</t>
  </si>
  <si>
    <t>Referenced by 01_Sizing to convert energy needed into whole containers.</t>
  </si>
  <si>
    <t>DESIGN A — 52S1P (LV rack, 12 racks parallel)</t>
  </si>
  <si>
    <t>Level</t>
  </si>
  <si>
    <t>Series/Parallel</t>
  </si>
  <si>
    <t>Nos</t>
  </si>
  <si>
    <t>Of</t>
  </si>
  <si>
    <t>Voltage (V)</t>
  </si>
  <si>
    <t>Capacity (Ah)</t>
  </si>
  <si>
    <t>Energy (Wh)</t>
  </si>
  <si>
    <t>Energy (kWh)</t>
  </si>
  <si>
    <t>Cell</t>
  </si>
  <si>
    <t>3.2 V / 314 Ah LFP — blue inputs</t>
  </si>
  <si>
    <t>Module</t>
  </si>
  <si>
    <t>Series</t>
  </si>
  <si>
    <t>Cells</t>
  </si>
  <si>
    <t>Pack</t>
  </si>
  <si>
    <t>Modules</t>
  </si>
  <si>
    <t>Rack</t>
  </si>
  <si>
    <t>Packs</t>
  </si>
  <si>
    <t>1,331 V DC rack, 418 kWh</t>
  </si>
  <si>
    <t>Container</t>
  </si>
  <si>
    <t>Parallel</t>
  </si>
  <si>
    <t>Racks</t>
  </si>
  <si>
    <t>52S1P — voltage unchanged, Ah adds in parallel</t>
  </si>
  <si>
    <t>DESIGN B — 104S1P (HV rack, 6 racks parallel) — alternate, same energy</t>
  </si>
  <si>
    <t>2,662 V DC rack</t>
  </si>
  <si>
    <t>104S1P — same 5,016 kWh as Design A</t>
  </si>
  <si>
    <t>MODULE 01A · 96-BLOCK SCHEDULE</t>
  </si>
  <si>
    <t>Dispatch converted to 15-minute time blocks — RLDC / SLDC / REMC format</t>
  </si>
  <si>
    <t>Block 1 = 00:00–00:15 … block 96 = 23:45–24:00. Drawal (charging) positive; behind-the-meter discharge is not an injection schedule. Copy into your REMC portal template.</t>
  </si>
  <si>
    <t>Block No</t>
  </si>
  <si>
    <t>Time From</t>
  </si>
  <si>
    <t>Time To</t>
  </si>
  <si>
    <t>Charge / exchange drawal (MW)</t>
  </si>
  <si>
    <t>BTM discharge (MW)</t>
  </si>
  <si>
    <t>Net BESS schedule (MW)</t>
  </si>
  <si>
    <t>SoC end of block (%)</t>
  </si>
  <si>
    <t>SoC is interpolated linearly inside each hour. MW values repeat across the four blocks of an hour — the dispatch plan is hourly; refine block-wise in RTM if needed.</t>
  </si>
  <si>
    <t>Typical day (DAM)</t>
  </si>
  <si>
    <t>Summer high-demand day</t>
  </si>
  <si>
    <t>Monsoon / flat day</t>
  </si>
  <si>
    <t>Representative IEX day-ahead price shapes (₹/kWh) — hardcoded assumptions, not live market data. Source: PowerLogic BESS app (github.com/jai2k701/powerlogic-bess).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</si>
</sst>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164" formatCode="#,##0.0&quot; MW&quot;"/>
    <numFmt numFmtId="165" formatCode="#,##0&quot; MWh&quot;"/>
    <numFmt numFmtId="166" formatCode="#,##0.0&quot; MWh&quot;"/>
    <numFmt numFmtId="167" formatCode="&quot;₹&quot;#,##0.00"/>
    <numFmt numFmtId="168" formatCode="0.00&quot;x&quot;"/>
    <numFmt numFmtId="169" formatCode="0.00&quot;C&quot;"/>
    <numFmt numFmtId="170" formatCode="0.0%"/>
    <numFmt numFmtId="171" formatCode="&quot;₹&quot;0.00&quot; Cr&quot;"/>
    <numFmt numFmtId="172" formatCode="&quot;₹&quot;#,##0"/>
    <numFmt numFmtId="173" formatCode="#,##0.000&quot; MWh&quot;"/>
    <numFmt numFmtId="174" formatCode="0&quot; containers&quot;"/>
    <numFmt numFmtId="175" formatCode="0.0&quot; h&quot;"/>
    <numFmt numFmtId="176" formatCode="&quot;₹&quot;#,##0.0&quot; Cr&quot;;\(&quot;₹&quot;#,##0.0&quot; Cr&quot;\)"/>
    <numFmt numFmtId="177" formatCode="0&quot; units&quot;"/>
    <numFmt numFmtId="178" formatCode="0.00&quot; /day&quot;"/>
    <numFmt numFmtId="179" formatCode="00"/>
    <numFmt numFmtId="180" formatCode="&quot;₹&quot;#,##0.00&quot; L&quot;"/>
    <numFmt numFmtId="181" formatCode="#,##0&quot; cells&quot;"/>
    <numFmt numFmtId="182" formatCode="0.0&quot; V&quot;"/>
    <numFmt numFmtId="183" formatCode="#,##0&quot; Ah&quot;"/>
    <numFmt numFmtId="184" formatCode="#,##0.0"/>
    <numFmt numFmtId="185" formatCode="#,##0.000"/>
    <numFmt numFmtId="186" formatCode="#,##0.0&quot; V&quot;"/>
    <numFmt numFmtId="187" formatCode="0.0"/>
  </numFmts>
  <fonts count="9" x14ac:knownFonts="1">
    <font>
      <sz val="11"/>
      <color theme="1"/>
      <name val="Calibri"/>
      <family val="2"/>
      <scheme val="minor"/>
    </font>
    <font>
      <b/>
      <sz val="8"/>
      <color rgb="FFE2703A"/>
      <name val="Arial"/>
    </font>
    <font>
      <b/>
      <sz val="13"/>
      <color rgb="FF1C2B3A"/>
      <name val="Arial"/>
    </font>
    <font>
      <i/>
      <sz val="8"/>
      <color rgb="FF5A6B7D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sz val="10"/>
      <color rgb="FF0000FF"/>
      <name val="Arial"/>
    </font>
    <font>
      <sz val="10"/>
      <color rgb="FF008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E4EA"/>
      </patternFill>
    </fill>
    <fill>
      <patternFill patternType="solid">
        <fgColor rgb="FF1C2B3A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7C3CC"/>
      </left>
      <right style="thin">
        <color rgb="FFB7C3CC"/>
      </right>
      <top style="thin">
        <color rgb="FFB7C3CC"/>
      </top>
      <bottom style="thin">
        <color rgb="FFB7C3CC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3" borderId="0" xfId="0" applyFont="1" applyFill="1"/>
    <xf numFmtId="0" fontId="0" fillId="2" borderId="0" xfId="0" applyFill="1"/>
    <xf numFmtId="0" fontId="5" fillId="0" borderId="0" xfId="0" applyFont="1"/>
    <xf numFmtId="1" fontId="7" fillId="4" borderId="1" xfId="0" applyNumberFormat="1" applyFont="1" applyFill="1" applyBorder="1"/>
    <xf numFmtId="0" fontId="8" fillId="0" borderId="0" xfId="0" applyFont="1"/>
    <xf numFmtId="164" fontId="7" fillId="0" borderId="1" xfId="0" applyNumberFormat="1" applyFont="1" applyBorder="1"/>
    <xf numFmtId="165" fontId="7" fillId="0" borderId="1" xfId="0" applyNumberFormat="1" applyFont="1" applyBorder="1"/>
    <xf numFmtId="9" fontId="7" fillId="0" borderId="1" xfId="0" applyNumberFormat="1" applyFont="1" applyBorder="1"/>
    <xf numFmtId="164" fontId="8" fillId="0" borderId="1" xfId="0" applyNumberFormat="1" applyFont="1" applyBorder="1"/>
    <xf numFmtId="166" fontId="8" fillId="0" borderId="1" xfId="0" applyNumberFormat="1" applyFont="1" applyBorder="1"/>
    <xf numFmtId="167" fontId="7" fillId="0" borderId="1" xfId="0" applyNumberFormat="1" applyFont="1" applyBorder="1"/>
    <xf numFmtId="168" fontId="7" fillId="0" borderId="1" xfId="0" applyNumberFormat="1" applyFont="1" applyBorder="1"/>
    <xf numFmtId="168" fontId="7" fillId="4" borderId="1" xfId="0" applyNumberFormat="1" applyFont="1" applyFill="1" applyBorder="1"/>
    <xf numFmtId="167" fontId="5" fillId="0" borderId="1" xfId="0" applyNumberFormat="1" applyFont="1" applyBorder="1"/>
    <xf numFmtId="164" fontId="7" fillId="4" borderId="1" xfId="0" applyNumberFormat="1" applyFont="1" applyFill="1" applyBorder="1"/>
    <xf numFmtId="169" fontId="7" fillId="4" borderId="1" xfId="0" applyNumberFormat="1" applyFont="1" applyFill="1" applyBorder="1"/>
    <xf numFmtId="170" fontId="7" fillId="0" borderId="1" xfId="0" applyNumberFormat="1" applyFont="1" applyBorder="1"/>
    <xf numFmtId="170" fontId="5" fillId="0" borderId="1" xfId="0" applyNumberFormat="1" applyFont="1" applyBorder="1"/>
    <xf numFmtId="171" fontId="7" fillId="4" borderId="1" xfId="0" applyNumberFormat="1" applyFont="1" applyFill="1" applyBorder="1"/>
    <xf numFmtId="1" fontId="7" fillId="0" borderId="1" xfId="0" applyNumberFormat="1" applyFont="1" applyBorder="1"/>
    <xf numFmtId="3" fontId="7" fillId="0" borderId="1" xfId="0" applyNumberFormat="1" applyFont="1" applyBorder="1"/>
    <xf numFmtId="172" fontId="7" fillId="0" borderId="1" xfId="0" applyNumberFormat="1" applyFont="1" applyBorder="1"/>
    <xf numFmtId="166" fontId="5" fillId="0" borderId="0" xfId="0" applyNumberFormat="1" applyFont="1"/>
    <xf numFmtId="9" fontId="4" fillId="4" borderId="0" xfId="0" applyNumberFormat="1" applyFont="1" applyFill="1"/>
    <xf numFmtId="164" fontId="4" fillId="4" borderId="0" xfId="0" applyNumberFormat="1" applyFont="1" applyFill="1"/>
    <xf numFmtId="165" fontId="5" fillId="0" borderId="0" xfId="0" applyNumberFormat="1" applyFont="1"/>
    <xf numFmtId="173" fontId="5" fillId="0" borderId="0" xfId="0" applyNumberFormat="1" applyFont="1"/>
    <xf numFmtId="174" fontId="4" fillId="4" borderId="0" xfId="0" applyNumberFormat="1" applyFont="1" applyFill="1"/>
    <xf numFmtId="166" fontId="4" fillId="4" borderId="0" xfId="0" applyNumberFormat="1" applyFont="1" applyFill="1"/>
    <xf numFmtId="175" fontId="5" fillId="0" borderId="0" xfId="0" applyNumberFormat="1" applyFont="1"/>
    <xf numFmtId="176" fontId="5" fillId="0" borderId="0" xfId="0" applyNumberFormat="1" applyFont="1"/>
    <xf numFmtId="0" fontId="4" fillId="4" borderId="0" xfId="0" applyFont="1" applyFill="1"/>
    <xf numFmtId="177" fontId="4" fillId="0" borderId="0" xfId="0" applyNumberFormat="1" applyFont="1"/>
    <xf numFmtId="164" fontId="5" fillId="0" borderId="0" xfId="0" applyNumberFormat="1" applyFont="1"/>
    <xf numFmtId="169" fontId="5" fillId="0" borderId="0" xfId="0" applyNumberFormat="1" applyFont="1"/>
    <xf numFmtId="178" fontId="4" fillId="0" borderId="0" xfId="0" applyNumberFormat="1" applyFont="1"/>
    <xf numFmtId="174" fontId="5" fillId="0" borderId="0" xfId="0" applyNumberFormat="1" applyFont="1"/>
    <xf numFmtId="0" fontId="4" fillId="0" borderId="0" xfId="0" applyFont="1"/>
    <xf numFmtId="0" fontId="6" fillId="3" borderId="1" xfId="0" applyFont="1" applyFill="1" applyBorder="1" applyAlignment="1">
      <alignment horizontal="center" wrapText="1"/>
    </xf>
    <xf numFmtId="179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" fontId="8" fillId="0" borderId="1" xfId="0" applyNumberFormat="1" applyFont="1" applyBorder="1"/>
    <xf numFmtId="4" fontId="7" fillId="0" borderId="1" xfId="0" applyNumberFormat="1" applyFont="1" applyBorder="1"/>
    <xf numFmtId="4" fontId="5" fillId="0" borderId="1" xfId="0" applyNumberFormat="1" applyFont="1" applyBorder="1"/>
    <xf numFmtId="1" fontId="5" fillId="0" borderId="0" xfId="0" applyNumberFormat="1" applyFont="1"/>
    <xf numFmtId="172" fontId="5" fillId="0" borderId="0" xfId="0" applyNumberFormat="1" applyFont="1"/>
    <xf numFmtId="180" fontId="4" fillId="4" borderId="0" xfId="0" applyNumberFormat="1" applyFont="1" applyFill="1"/>
    <xf numFmtId="176" fontId="4" fillId="4" borderId="0" xfId="0" applyNumberFormat="1" applyFont="1" applyFill="1"/>
    <xf numFmtId="167" fontId="5" fillId="0" borderId="0" xfId="0" applyNumberFormat="1" applyFont="1"/>
    <xf numFmtId="9" fontId="5" fillId="0" borderId="0" xfId="0" applyNumberFormat="1" applyFont="1"/>
    <xf numFmtId="167" fontId="8" fillId="0" borderId="1" xfId="0" applyNumberFormat="1" applyFont="1" applyBorder="1"/>
    <xf numFmtId="1" fontId="5" fillId="0" borderId="1" xfId="0" applyNumberFormat="1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72" fontId="5" fillId="0" borderId="1" xfId="0" applyNumberFormat="1" applyFont="1" applyBorder="1"/>
    <xf numFmtId="170" fontId="4" fillId="0" borderId="0" xfId="0" applyNumberFormat="1" applyFont="1"/>
    <xf numFmtId="176" fontId="8" fillId="0" borderId="0" xfId="0" applyNumberFormat="1" applyFont="1"/>
    <xf numFmtId="176" fontId="4" fillId="0" borderId="0" xfId="0" applyNumberFormat="1" applyFont="1"/>
    <xf numFmtId="176" fontId="8" fillId="0" borderId="1" xfId="0" applyNumberFormat="1" applyFont="1" applyBorder="1"/>
    <xf numFmtId="176" fontId="5" fillId="0" borderId="1" xfId="0" applyNumberFormat="1" applyFont="1" applyBorder="1"/>
    <xf numFmtId="176" fontId="4" fillId="0" borderId="1" xfId="0" applyNumberFormat="1" applyFont="1" applyBorder="1"/>
    <xf numFmtId="173" fontId="4" fillId="4" borderId="0" xfId="0" applyNumberFormat="1" applyFont="1" applyFill="1"/>
    <xf numFmtId="181" fontId="5" fillId="0" borderId="0" xfId="0" applyNumberFormat="1" applyFont="1"/>
    <xf numFmtId="0" fontId="5" fillId="0" borderId="1" xfId="0" applyFont="1" applyBorder="1"/>
    <xf numFmtId="182" fontId="7" fillId="0" borderId="1" xfId="0" applyNumberFormat="1" applyFont="1" applyBorder="1"/>
    <xf numFmtId="183" fontId="7" fillId="0" borderId="1" xfId="0" applyNumberFormat="1" applyFont="1" applyBorder="1"/>
    <xf numFmtId="184" fontId="5" fillId="0" borderId="1" xfId="0" applyNumberFormat="1" applyFont="1" applyBorder="1"/>
    <xf numFmtId="185" fontId="5" fillId="0" borderId="1" xfId="0" applyNumberFormat="1" applyFont="1" applyBorder="1"/>
    <xf numFmtId="1" fontId="7" fillId="0" borderId="1" xfId="0" applyNumberFormat="1" applyFont="1" applyBorder="1" applyAlignment="1">
      <alignment horizontal="center"/>
    </xf>
    <xf numFmtId="186" fontId="5" fillId="0" borderId="1" xfId="0" applyNumberFormat="1" applyFont="1" applyBorder="1"/>
    <xf numFmtId="183" fontId="5" fillId="0" borderId="1" xfId="0" applyNumberFormat="1" applyFont="1" applyBorder="1"/>
    <xf numFmtId="0" fontId="4" fillId="0" borderId="1" xfId="0" applyFont="1" applyBorder="1"/>
    <xf numFmtId="3" fontId="4" fillId="0" borderId="1" xfId="0" applyNumberFormat="1" applyFont="1" applyBorder="1"/>
    <xf numFmtId="4" fontId="4" fillId="0" borderId="1" xfId="0" applyNumberFormat="1" applyFont="1" applyBorder="1"/>
    <xf numFmtId="187" fontId="5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"/>
  <sheetViews>
    <sheetView showGridLines="0" tabSelected="1" workbookViewId="0"/>
  </sheetViews>
  <sheetFormatPr defaultRowHeight="14.5" x14ac:dyDescent="0.35"/>
  <cols>
    <col min="1" max="1" width="36" customWidth="1"/>
    <col min="2" max="2" width="14" customWidth="1"/>
    <col min="3" max="3" width="24" customWidth="1"/>
    <col min="4" max="4" width="46" customWidth="1"/>
  </cols>
  <sheetData>
    <row r="1" spans="1:4" x14ac:dyDescent="0.35">
      <c r="A1" s="1" t="s">
        <v>0</v>
      </c>
    </row>
    <row r="2" spans="1:4" ht="16.5" x14ac:dyDescent="0.35">
      <c r="A2" s="2" t="s">
        <v>1</v>
      </c>
    </row>
    <row r="3" spans="1:4" x14ac:dyDescent="0.35">
      <c r="A3" s="3" t="s">
        <v>2</v>
      </c>
    </row>
    <row r="4" spans="1:4" x14ac:dyDescent="0.35">
      <c r="A4" s="3" t="s">
        <v>3</v>
      </c>
    </row>
    <row r="6" spans="1:4" x14ac:dyDescent="0.35">
      <c r="A6" s="4" t="s">
        <v>4</v>
      </c>
      <c r="B6" s="5"/>
      <c r="C6" s="5"/>
      <c r="D6" s="5"/>
    </row>
    <row r="7" spans="1:4" x14ac:dyDescent="0.35">
      <c r="A7" s="6" t="s">
        <v>5</v>
      </c>
      <c r="B7" s="7">
        <v>1</v>
      </c>
      <c r="C7" s="8" t="str">
        <f>INDEX(Prices!$B$1:$D$1,1,B7)</f>
        <v>Typical day (DAM)</v>
      </c>
      <c r="D7" s="3" t="s">
        <v>6</v>
      </c>
    </row>
    <row r="8" spans="1:4" x14ac:dyDescent="0.35">
      <c r="A8" s="4" t="s">
        <v>7</v>
      </c>
      <c r="B8" s="5"/>
      <c r="C8" s="5"/>
      <c r="D8" s="5"/>
    </row>
    <row r="9" spans="1:4" x14ac:dyDescent="0.35">
      <c r="A9" s="6" t="s">
        <v>8</v>
      </c>
      <c r="B9" s="9">
        <v>10</v>
      </c>
    </row>
    <row r="10" spans="1:4" x14ac:dyDescent="0.35">
      <c r="A10" s="6" t="s">
        <v>9</v>
      </c>
      <c r="B10" s="10">
        <v>20</v>
      </c>
    </row>
    <row r="11" spans="1:4" x14ac:dyDescent="0.35">
      <c r="A11" s="6" t="s">
        <v>10</v>
      </c>
      <c r="B11" s="7">
        <v>1</v>
      </c>
      <c r="D11" s="3" t="s">
        <v>11</v>
      </c>
    </row>
    <row r="12" spans="1:4" x14ac:dyDescent="0.35">
      <c r="A12" s="6" t="s">
        <v>12</v>
      </c>
      <c r="B12" s="11">
        <v>0.88</v>
      </c>
      <c r="D12" s="3" t="s">
        <v>13</v>
      </c>
    </row>
    <row r="13" spans="1:4" x14ac:dyDescent="0.35">
      <c r="A13" s="6" t="s">
        <v>14</v>
      </c>
      <c r="B13" s="12">
        <f>IF('00_Inputs'!$B$11=1,'01_Sizing'!$C$9,'00_Inputs'!$B$9)</f>
        <v>7.5</v>
      </c>
      <c r="D13" s="3" t="s">
        <v>15</v>
      </c>
    </row>
    <row r="14" spans="1:4" x14ac:dyDescent="0.35">
      <c r="A14" s="6" t="s">
        <v>16</v>
      </c>
      <c r="B14" s="13">
        <f>IF('00_Inputs'!$B$11=1,'01_Sizing'!$C$13,'00_Inputs'!$B$10)</f>
        <v>75.239424000000014</v>
      </c>
      <c r="D14" s="3" t="s">
        <v>17</v>
      </c>
    </row>
    <row r="15" spans="1:4" x14ac:dyDescent="0.35">
      <c r="A15" s="4" t="s">
        <v>18</v>
      </c>
      <c r="B15" s="5"/>
      <c r="C15" s="5"/>
      <c r="D15" s="5"/>
    </row>
    <row r="16" spans="1:4" x14ac:dyDescent="0.35">
      <c r="A16" s="6" t="s">
        <v>19</v>
      </c>
      <c r="B16" s="14">
        <v>8.44</v>
      </c>
      <c r="D16" s="3" t="s">
        <v>20</v>
      </c>
    </row>
    <row r="17" spans="1:4" x14ac:dyDescent="0.35">
      <c r="A17" s="6" t="s">
        <v>21</v>
      </c>
      <c r="B17" s="15">
        <v>1.2</v>
      </c>
    </row>
    <row r="18" spans="1:4" x14ac:dyDescent="0.35">
      <c r="A18" s="6" t="s">
        <v>22</v>
      </c>
      <c r="B18" s="16">
        <v>0.85</v>
      </c>
      <c r="D18" s="3" t="s">
        <v>23</v>
      </c>
    </row>
    <row r="19" spans="1:4" x14ac:dyDescent="0.35">
      <c r="A19" s="6" t="s">
        <v>24</v>
      </c>
      <c r="B19" s="14">
        <v>3.65</v>
      </c>
      <c r="D19" s="3" t="s">
        <v>25</v>
      </c>
    </row>
    <row r="20" spans="1:4" x14ac:dyDescent="0.35">
      <c r="A20" s="6" t="s">
        <v>26</v>
      </c>
      <c r="B20" s="17">
        <f>'00_Inputs'!$B$16*'00_Inputs'!$B$17</f>
        <v>10.127999999999998</v>
      </c>
      <c r="D20" s="3" t="s">
        <v>27</v>
      </c>
    </row>
    <row r="21" spans="1:4" x14ac:dyDescent="0.35">
      <c r="A21" s="4" t="s">
        <v>28</v>
      </c>
      <c r="B21" s="5"/>
      <c r="C21" s="5"/>
      <c r="D21" s="5"/>
    </row>
    <row r="22" spans="1:4" x14ac:dyDescent="0.35">
      <c r="A22" s="6" t="s">
        <v>29</v>
      </c>
      <c r="B22" s="18">
        <v>10</v>
      </c>
    </row>
    <row r="23" spans="1:4" x14ac:dyDescent="0.35">
      <c r="A23" s="6" t="s">
        <v>30</v>
      </c>
      <c r="B23" s="9">
        <v>5</v>
      </c>
    </row>
    <row r="24" spans="1:4" x14ac:dyDescent="0.35">
      <c r="A24" s="6" t="s">
        <v>31</v>
      </c>
      <c r="B24" s="9">
        <v>7</v>
      </c>
    </row>
    <row r="25" spans="1:4" x14ac:dyDescent="0.35">
      <c r="A25" s="6" t="s">
        <v>32</v>
      </c>
      <c r="B25" s="18">
        <v>9</v>
      </c>
      <c r="D25" s="3" t="s">
        <v>33</v>
      </c>
    </row>
    <row r="26" spans="1:4" x14ac:dyDescent="0.35">
      <c r="A26" s="6" t="s">
        <v>34</v>
      </c>
      <c r="B26" s="11">
        <v>1</v>
      </c>
      <c r="D26" s="3" t="s">
        <v>35</v>
      </c>
    </row>
    <row r="27" spans="1:4" x14ac:dyDescent="0.35">
      <c r="A27" s="6" t="s">
        <v>36</v>
      </c>
      <c r="B27" s="11">
        <v>0.1</v>
      </c>
      <c r="D27" s="3" t="s">
        <v>37</v>
      </c>
    </row>
    <row r="28" spans="1:4" x14ac:dyDescent="0.35">
      <c r="A28" s="6" t="s">
        <v>38</v>
      </c>
      <c r="B28" s="11">
        <v>0.9</v>
      </c>
      <c r="D28" s="3" t="s">
        <v>39</v>
      </c>
    </row>
    <row r="29" spans="1:4" x14ac:dyDescent="0.35">
      <c r="A29" s="6" t="s">
        <v>40</v>
      </c>
      <c r="B29" s="11">
        <v>0.9</v>
      </c>
      <c r="D29" s="3" t="s">
        <v>41</v>
      </c>
    </row>
    <row r="30" spans="1:4" x14ac:dyDescent="0.35">
      <c r="A30" s="6" t="s">
        <v>42</v>
      </c>
      <c r="B30" s="19">
        <v>0.25</v>
      </c>
      <c r="D30" s="3" t="s">
        <v>43</v>
      </c>
    </row>
    <row r="31" spans="1:4" x14ac:dyDescent="0.35">
      <c r="A31" s="4" t="s">
        <v>44</v>
      </c>
      <c r="B31" s="5"/>
      <c r="C31" s="5"/>
      <c r="D31" s="5"/>
    </row>
    <row r="32" spans="1:4" x14ac:dyDescent="0.35">
      <c r="A32" s="6" t="s">
        <v>45</v>
      </c>
      <c r="B32" s="20">
        <v>0.02</v>
      </c>
    </row>
    <row r="33" spans="1:4" x14ac:dyDescent="0.35">
      <c r="A33" s="6" t="s">
        <v>46</v>
      </c>
      <c r="B33" s="20">
        <v>1.4999999999999999E-2</v>
      </c>
    </row>
    <row r="34" spans="1:4" x14ac:dyDescent="0.35">
      <c r="A34" s="6" t="s">
        <v>47</v>
      </c>
      <c r="B34" s="20">
        <v>0.01</v>
      </c>
      <c r="D34" s="3" t="s">
        <v>48</v>
      </c>
    </row>
    <row r="35" spans="1:4" x14ac:dyDescent="0.35">
      <c r="A35" s="6" t="s">
        <v>49</v>
      </c>
      <c r="B35" s="21">
        <f>(1-'00_Inputs'!$B$32)*(1-'00_Inputs'!$B$33)*(1-'00_Inputs'!$B$34)</f>
        <v>0.95564699999999991</v>
      </c>
      <c r="D35" s="3" t="s">
        <v>50</v>
      </c>
    </row>
    <row r="36" spans="1:4" x14ac:dyDescent="0.35">
      <c r="A36" s="6" t="s">
        <v>51</v>
      </c>
      <c r="B36" s="21">
        <f>'00_Inputs'!$B$12*'00_Inputs'!$B$35^2</f>
        <v>0.80366984597591984</v>
      </c>
      <c r="D36" s="3" t="s">
        <v>52</v>
      </c>
    </row>
    <row r="37" spans="1:4" x14ac:dyDescent="0.35">
      <c r="A37" s="4" t="s">
        <v>53</v>
      </c>
      <c r="B37" s="5"/>
      <c r="C37" s="5"/>
      <c r="D37" s="5"/>
    </row>
    <row r="38" spans="1:4" x14ac:dyDescent="0.35">
      <c r="A38" s="6" t="s">
        <v>54</v>
      </c>
      <c r="B38" s="22">
        <v>1.1000000000000001</v>
      </c>
    </row>
    <row r="39" spans="1:4" x14ac:dyDescent="0.35">
      <c r="A39" s="6" t="s">
        <v>55</v>
      </c>
      <c r="B39" s="20">
        <v>1.4999999999999999E-2</v>
      </c>
    </row>
    <row r="40" spans="1:4" x14ac:dyDescent="0.35">
      <c r="A40" s="6" t="s">
        <v>56</v>
      </c>
      <c r="B40" s="23">
        <v>330</v>
      </c>
    </row>
    <row r="41" spans="1:4" x14ac:dyDescent="0.35">
      <c r="A41" s="6" t="s">
        <v>57</v>
      </c>
      <c r="B41" s="20">
        <v>0.02</v>
      </c>
    </row>
    <row r="42" spans="1:4" x14ac:dyDescent="0.35">
      <c r="A42" s="6" t="s">
        <v>58</v>
      </c>
      <c r="B42" s="11">
        <v>0.12</v>
      </c>
    </row>
    <row r="43" spans="1:4" x14ac:dyDescent="0.35">
      <c r="A43" s="4" t="s">
        <v>59</v>
      </c>
      <c r="B43" s="5"/>
      <c r="C43" s="5"/>
      <c r="D43" s="5"/>
    </row>
    <row r="44" spans="1:4" x14ac:dyDescent="0.35">
      <c r="A44" s="6" t="s">
        <v>60</v>
      </c>
      <c r="B44" s="24">
        <v>5000</v>
      </c>
    </row>
    <row r="45" spans="1:4" x14ac:dyDescent="0.35">
      <c r="A45" s="6" t="s">
        <v>61</v>
      </c>
      <c r="B45" s="25">
        <v>450</v>
      </c>
      <c r="D45" s="3" t="s">
        <v>62</v>
      </c>
    </row>
    <row r="46" spans="1:4" x14ac:dyDescent="0.35">
      <c r="A46" s="6" t="s">
        <v>63</v>
      </c>
      <c r="B46" s="23">
        <v>100</v>
      </c>
    </row>
    <row r="47" spans="1:4" x14ac:dyDescent="0.35">
      <c r="A47" s="6" t="s">
        <v>64</v>
      </c>
      <c r="B47" s="14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3"/>
  <sheetViews>
    <sheetView showGridLines="0" workbookViewId="0"/>
  </sheetViews>
  <sheetFormatPr defaultRowHeight="14.5" x14ac:dyDescent="0.35"/>
  <cols>
    <col min="1" max="1" width="7" customWidth="1"/>
    <col min="2" max="2" width="9" customWidth="1"/>
    <col min="3" max="3" width="15" customWidth="1"/>
    <col min="4" max="4" width="13" customWidth="1"/>
    <col min="5" max="5" width="12" customWidth="1"/>
    <col min="6" max="7" width="15" customWidth="1"/>
    <col min="8" max="8" width="17" customWidth="1"/>
    <col min="9" max="9" width="44" customWidth="1"/>
  </cols>
  <sheetData>
    <row r="1" spans="1:9" x14ac:dyDescent="0.35">
      <c r="A1" s="1" t="s">
        <v>65</v>
      </c>
    </row>
    <row r="2" spans="1:9" ht="16.5" x14ac:dyDescent="0.35">
      <c r="A2" s="2" t="s">
        <v>66</v>
      </c>
    </row>
    <row r="3" spans="1:9" x14ac:dyDescent="0.35">
      <c r="A3" s="3" t="s">
        <v>67</v>
      </c>
    </row>
    <row r="5" spans="1:9" x14ac:dyDescent="0.35">
      <c r="A5" s="4" t="s">
        <v>68</v>
      </c>
      <c r="B5" s="5"/>
      <c r="C5" s="5"/>
      <c r="D5" s="5"/>
      <c r="E5" s="5"/>
      <c r="F5" s="5"/>
      <c r="G5" s="5"/>
      <c r="H5" s="5"/>
      <c r="I5" s="5"/>
    </row>
    <row r="6" spans="1:9" x14ac:dyDescent="0.35">
      <c r="A6" s="6" t="s">
        <v>69</v>
      </c>
      <c r="C6" s="26">
        <f>SUM($F$38:$F$61)</f>
        <v>63</v>
      </c>
      <c r="I6" s="3" t="s">
        <v>70</v>
      </c>
    </row>
    <row r="7" spans="1:9" x14ac:dyDescent="0.35">
      <c r="A7" s="6" t="s">
        <v>71</v>
      </c>
      <c r="C7" s="26">
        <f>SUM($H$38:$H$61)</f>
        <v>63</v>
      </c>
      <c r="I7" s="3" t="s">
        <v>72</v>
      </c>
    </row>
    <row r="8" spans="1:9" x14ac:dyDescent="0.35">
      <c r="A8" s="6" t="s">
        <v>73</v>
      </c>
      <c r="C8" s="27">
        <f>MIN('00_Inputs'!$B$26,C7*'00_Inputs'!$B$12*'00_Inputs'!$B$35^2/C6)</f>
        <v>0.80366984597591984</v>
      </c>
      <c r="I8" s="3" t="s">
        <v>74</v>
      </c>
    </row>
    <row r="9" spans="1:9" x14ac:dyDescent="0.35">
      <c r="A9" s="6" t="s">
        <v>75</v>
      </c>
      <c r="C9" s="28">
        <f>CEILING(MAX($F$38:$F$61)*C8,0.5)</f>
        <v>7.5</v>
      </c>
      <c r="I9" s="3" t="s">
        <v>76</v>
      </c>
    </row>
    <row r="10" spans="1:9" x14ac:dyDescent="0.35">
      <c r="A10" s="6" t="s">
        <v>77</v>
      </c>
      <c r="C10" s="29">
        <f>CEILING(C6*C8/'00_Inputs'!$B$35/(('00_Inputs'!$B$28-'00_Inputs'!$B$27)*'00_Inputs'!$B$29),1)</f>
        <v>74</v>
      </c>
      <c r="I10" s="3" t="s">
        <v>78</v>
      </c>
    </row>
    <row r="11" spans="1:9" x14ac:dyDescent="0.35">
      <c r="A11" s="6" t="s">
        <v>79</v>
      </c>
      <c r="C11" s="30">
        <f>'04_Container'!$C$5</f>
        <v>5.0159616000000007</v>
      </c>
      <c r="I11" s="3" t="s">
        <v>80</v>
      </c>
    </row>
    <row r="12" spans="1:9" x14ac:dyDescent="0.35">
      <c r="A12" s="6" t="s">
        <v>81</v>
      </c>
      <c r="C12" s="31">
        <f>MAX(ROUNDUP(C10/C11,0),ROUNDUP(C9/('00_Inputs'!$B$30*C11),0))</f>
        <v>15</v>
      </c>
      <c r="I12" s="3" t="s">
        <v>82</v>
      </c>
    </row>
    <row r="13" spans="1:9" x14ac:dyDescent="0.35">
      <c r="A13" s="6" t="s">
        <v>83</v>
      </c>
      <c r="C13" s="32">
        <f>C12*C11</f>
        <v>75.239424000000014</v>
      </c>
      <c r="I13" s="3" t="s">
        <v>84</v>
      </c>
    </row>
    <row r="14" spans="1:9" x14ac:dyDescent="0.35">
      <c r="A14" s="6" t="s">
        <v>85</v>
      </c>
      <c r="C14" s="33">
        <f>C13/C9</f>
        <v>10.031923200000001</v>
      </c>
      <c r="I14" s="3" t="s">
        <v>86</v>
      </c>
    </row>
    <row r="15" spans="1:9" x14ac:dyDescent="0.35">
      <c r="A15" s="6" t="s">
        <v>87</v>
      </c>
      <c r="C15" s="34">
        <f>C13*'00_Inputs'!$B$38*1.05</f>
        <v>86.901534720000029</v>
      </c>
      <c r="I15" s="3" t="s">
        <v>88</v>
      </c>
    </row>
    <row r="16" spans="1:9" x14ac:dyDescent="0.35">
      <c r="A16" s="6" t="s">
        <v>89</v>
      </c>
      <c r="C16" s="35" t="str">
        <f>IF('00_Inputs'!$B$26&lt;=C8+0.0001,"OK — target coverage feasible","CHECK — max feasible coverage = "&amp;TEXT(C8,"0%")&amp;". Raise contract demand, shed day load, or add on-site solar.")</f>
        <v>CHECK — max feasible coverage = 80%. Raise contract demand, shed day load, or add on-site solar.</v>
      </c>
    </row>
    <row r="18" spans="1:9" x14ac:dyDescent="0.35">
      <c r="A18" s="4" t="s">
        <v>90</v>
      </c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6" t="s">
        <v>91</v>
      </c>
      <c r="C19" s="18">
        <v>2.5</v>
      </c>
      <c r="I19" s="3" t="s">
        <v>92</v>
      </c>
    </row>
    <row r="20" spans="1:9" x14ac:dyDescent="0.35">
      <c r="A20" s="6" t="s">
        <v>93</v>
      </c>
      <c r="C20" s="23">
        <v>4</v>
      </c>
      <c r="I20" s="3" t="s">
        <v>94</v>
      </c>
    </row>
    <row r="21" spans="1:9" x14ac:dyDescent="0.35">
      <c r="A21" s="6" t="s">
        <v>95</v>
      </c>
      <c r="C21" s="11">
        <v>0.2</v>
      </c>
      <c r="I21" s="3" t="s">
        <v>96</v>
      </c>
    </row>
    <row r="22" spans="1:9" x14ac:dyDescent="0.35">
      <c r="A22" s="6" t="s">
        <v>97</v>
      </c>
      <c r="C22" s="23">
        <v>0</v>
      </c>
    </row>
    <row r="23" spans="1:9" x14ac:dyDescent="0.35">
      <c r="A23" s="6" t="s">
        <v>98</v>
      </c>
      <c r="C23" s="36">
        <f>MAX(ROUNDUP(C9*(1+C21)/C19,0),ROUNDUP(C12/C20,0))+C22</f>
        <v>4</v>
      </c>
      <c r="I23" s="3" t="s">
        <v>99</v>
      </c>
    </row>
    <row r="24" spans="1:9" x14ac:dyDescent="0.35">
      <c r="A24" s="6" t="s">
        <v>100</v>
      </c>
      <c r="C24" s="37">
        <f>C23*C19</f>
        <v>10</v>
      </c>
    </row>
    <row r="25" spans="1:9" x14ac:dyDescent="0.35">
      <c r="A25" s="6" t="s">
        <v>101</v>
      </c>
      <c r="C25" s="38">
        <f>C24/C13</f>
        <v>0.13290904513038268</v>
      </c>
      <c r="D25" s="6" t="str">
        <f>IF(C25&lt;='00_Inputs'!$B$30,"OK — within the container C-rate","CHECK — above the container C-rate: batteries cap plant power at "&amp;TEXT('00_Inputs'!$B$30*C13,"0.0")&amp;" MW")</f>
        <v>OK — within the container C-rate</v>
      </c>
    </row>
    <row r="27" spans="1:9" x14ac:dyDescent="0.35">
      <c r="A27" s="4" t="s">
        <v>102</v>
      </c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6" t="s">
        <v>103</v>
      </c>
      <c r="C28" s="26">
        <f>C13*(('00_Inputs'!$B$28-'00_Inputs'!$B$27)*'00_Inputs'!$B$29)</f>
        <v>54.172385280000015</v>
      </c>
      <c r="I28" s="3" t="s">
        <v>104</v>
      </c>
    </row>
    <row r="29" spans="1:9" x14ac:dyDescent="0.35">
      <c r="A29" s="6" t="s">
        <v>105</v>
      </c>
      <c r="C29" s="26">
        <f>C6*C8/'00_Inputs'!$B$35</f>
        <v>52.981069679999997</v>
      </c>
      <c r="I29" s="3" t="s">
        <v>106</v>
      </c>
    </row>
    <row r="30" spans="1:9" x14ac:dyDescent="0.35">
      <c r="A30" s="6" t="s">
        <v>107</v>
      </c>
      <c r="C30" s="39">
        <f>C29/C28</f>
        <v>0.97800880293820402</v>
      </c>
      <c r="I30" s="3" t="s">
        <v>108</v>
      </c>
    </row>
    <row r="31" spans="1:9" x14ac:dyDescent="0.35">
      <c r="A31" s="6" t="s">
        <v>109</v>
      </c>
      <c r="C31" s="26">
        <f>C29/'00_Inputs'!$B$12/'00_Inputs'!$B$35</f>
        <v>63</v>
      </c>
      <c r="D31" s="6" t="str">
        <f>"solar window (09–17) headroom delivers "&amp;TEXT(SUMPRODUCT(($B$38:$B$61="Solar")*($H$38:$H$61)),"0")&amp;" MWh — balance charges overnight (00–09)"</f>
        <v>solar window (09–17) headroom delivers 24 MWh — balance charges overnight (00–09)</v>
      </c>
    </row>
    <row r="32" spans="1:9" x14ac:dyDescent="0.35">
      <c r="A32" s="6" t="s">
        <v>110</v>
      </c>
      <c r="C32" s="26">
        <f>C6*C8</f>
        <v>50.631200296482952</v>
      </c>
      <c r="I32" s="3" t="s">
        <v>111</v>
      </c>
    </row>
    <row r="33" spans="1:9" x14ac:dyDescent="0.35">
      <c r="A33" s="6" t="s">
        <v>112</v>
      </c>
      <c r="C33" s="35" t="str">
        <f>IF(C30&lt;=1,"ONE daily cycle sufficient — charge solar hours (IEX floor), discharge 17–24 peak. Standard Indian BTM pattern.",IF(C30&lt;=2,"TWO cycles needed — MSEDCL has a single evening peak, so add "&amp;(ROUNDUP(C29/(('00_Inputs'!$B$28-'00_Inputs'!$B$27)*'00_Inputs'!$B$29)/C11,0)-C12)&amp;" containers for one-cycle operation, or run cycle 2 as thin-margin morning arbitrage (dual-peak states like UP/UK support true 2-cycle).","UNDERSIZED — more than 2 cycles/day implied against a single 7-h peak: add containers or cut the coverage target."))</f>
        <v>ONE daily cycle sufficient — charge solar hours (IEX floor), discharge 17–24 peak. Standard Indian BTM pattern.</v>
      </c>
    </row>
    <row r="34" spans="1:9" x14ac:dyDescent="0.35">
      <c r="A34" s="6" t="s">
        <v>113</v>
      </c>
      <c r="C34" s="40">
        <f>ROUNDUP(C29/2/(('00_Inputs'!$B$28-'00_Inputs'!$B$27)*'00_Inputs'!$B$29)/C11,0)</f>
        <v>8</v>
      </c>
      <c r="I34" s="3" t="s">
        <v>114</v>
      </c>
    </row>
    <row r="36" spans="1:9" x14ac:dyDescent="0.35">
      <c r="A36" s="41" t="s">
        <v>115</v>
      </c>
      <c r="I36" s="3" t="s">
        <v>116</v>
      </c>
    </row>
    <row r="37" spans="1:9" ht="26.5" x14ac:dyDescent="0.35">
      <c r="A37" s="42" t="s">
        <v>117</v>
      </c>
      <c r="B37" s="42" t="s">
        <v>118</v>
      </c>
      <c r="C37" s="42" t="s">
        <v>119</v>
      </c>
      <c r="D37" s="42" t="s">
        <v>120</v>
      </c>
      <c r="E37" s="42" t="s">
        <v>121</v>
      </c>
      <c r="F37" s="42" t="s">
        <v>122</v>
      </c>
      <c r="G37" s="42" t="s">
        <v>123</v>
      </c>
      <c r="H37" s="42" t="s">
        <v>124</v>
      </c>
      <c r="I37" s="42" t="s">
        <v>125</v>
      </c>
    </row>
    <row r="38" spans="1:9" x14ac:dyDescent="0.35">
      <c r="A38" s="43">
        <v>0</v>
      </c>
      <c r="B38" s="44" t="str">
        <f t="shared" ref="B38:B61" si="0">IF(A38&gt;=17,"Peak",IF(A38&gt;=9,"Solar","Normal"))</f>
        <v>Normal</v>
      </c>
      <c r="C38" s="45">
        <f>IF(A38&lt;6,'00_Inputs'!$B$23,IF(A38&lt;17,'00_Inputs'!$B$24,'00_Inputs'!$B$25))</f>
        <v>5</v>
      </c>
      <c r="D38" s="46"/>
      <c r="E38" s="47">
        <f t="shared" ref="E38:E61" si="1">IF(D38&lt;&gt;"",D38,C38)</f>
        <v>5</v>
      </c>
      <c r="F38" s="47">
        <f>IF(B38="Peak",MIN(E38,'00_Inputs'!$B$22),0)</f>
        <v>0</v>
      </c>
      <c r="G38" s="47">
        <f t="shared" ref="G38:G61" si="2">F38*$C$8</f>
        <v>0</v>
      </c>
      <c r="H38" s="47">
        <f>IF(B38="Peak",0,MIN(MAX('00_Inputs'!$B$22-E38,0),'00_Inputs'!$B$26*MAX($F$38:$F$61)))</f>
        <v>5</v>
      </c>
    </row>
    <row r="39" spans="1:9" x14ac:dyDescent="0.35">
      <c r="A39" s="43">
        <v>1</v>
      </c>
      <c r="B39" s="44" t="str">
        <f t="shared" si="0"/>
        <v>Normal</v>
      </c>
      <c r="C39" s="45">
        <f>IF(A39&lt;6,'00_Inputs'!$B$23,IF(A39&lt;17,'00_Inputs'!$B$24,'00_Inputs'!$B$25))</f>
        <v>5</v>
      </c>
      <c r="D39" s="46"/>
      <c r="E39" s="47">
        <f t="shared" si="1"/>
        <v>5</v>
      </c>
      <c r="F39" s="47">
        <f>IF(B39="Peak",MIN(E39,'00_Inputs'!$B$22),0)</f>
        <v>0</v>
      </c>
      <c r="G39" s="47">
        <f t="shared" si="2"/>
        <v>0</v>
      </c>
      <c r="H39" s="47">
        <f>IF(B39="Peak",0,MIN(MAX('00_Inputs'!$B$22-E39,0),'00_Inputs'!$B$26*MAX($F$38:$F$61)))</f>
        <v>5</v>
      </c>
    </row>
    <row r="40" spans="1:9" x14ac:dyDescent="0.35">
      <c r="A40" s="43">
        <v>2</v>
      </c>
      <c r="B40" s="44" t="str">
        <f t="shared" si="0"/>
        <v>Normal</v>
      </c>
      <c r="C40" s="45">
        <f>IF(A40&lt;6,'00_Inputs'!$B$23,IF(A40&lt;17,'00_Inputs'!$B$24,'00_Inputs'!$B$25))</f>
        <v>5</v>
      </c>
      <c r="D40" s="46"/>
      <c r="E40" s="47">
        <f t="shared" si="1"/>
        <v>5</v>
      </c>
      <c r="F40" s="47">
        <f>IF(B40="Peak",MIN(E40,'00_Inputs'!$B$22),0)</f>
        <v>0</v>
      </c>
      <c r="G40" s="47">
        <f t="shared" si="2"/>
        <v>0</v>
      </c>
      <c r="H40" s="47">
        <f>IF(B40="Peak",0,MIN(MAX('00_Inputs'!$B$22-E40,0),'00_Inputs'!$B$26*MAX($F$38:$F$61)))</f>
        <v>5</v>
      </c>
    </row>
    <row r="41" spans="1:9" x14ac:dyDescent="0.35">
      <c r="A41" s="43">
        <v>3</v>
      </c>
      <c r="B41" s="44" t="str">
        <f t="shared" si="0"/>
        <v>Normal</v>
      </c>
      <c r="C41" s="45">
        <f>IF(A41&lt;6,'00_Inputs'!$B$23,IF(A41&lt;17,'00_Inputs'!$B$24,'00_Inputs'!$B$25))</f>
        <v>5</v>
      </c>
      <c r="D41" s="46"/>
      <c r="E41" s="47">
        <f t="shared" si="1"/>
        <v>5</v>
      </c>
      <c r="F41" s="47">
        <f>IF(B41="Peak",MIN(E41,'00_Inputs'!$B$22),0)</f>
        <v>0</v>
      </c>
      <c r="G41" s="47">
        <f t="shared" si="2"/>
        <v>0</v>
      </c>
      <c r="H41" s="47">
        <f>IF(B41="Peak",0,MIN(MAX('00_Inputs'!$B$22-E41,0),'00_Inputs'!$B$26*MAX($F$38:$F$61)))</f>
        <v>5</v>
      </c>
    </row>
    <row r="42" spans="1:9" x14ac:dyDescent="0.35">
      <c r="A42" s="43">
        <v>4</v>
      </c>
      <c r="B42" s="44" t="str">
        <f t="shared" si="0"/>
        <v>Normal</v>
      </c>
      <c r="C42" s="45">
        <f>IF(A42&lt;6,'00_Inputs'!$B$23,IF(A42&lt;17,'00_Inputs'!$B$24,'00_Inputs'!$B$25))</f>
        <v>5</v>
      </c>
      <c r="D42" s="46"/>
      <c r="E42" s="47">
        <f t="shared" si="1"/>
        <v>5</v>
      </c>
      <c r="F42" s="47">
        <f>IF(B42="Peak",MIN(E42,'00_Inputs'!$B$22),0)</f>
        <v>0</v>
      </c>
      <c r="G42" s="47">
        <f t="shared" si="2"/>
        <v>0</v>
      </c>
      <c r="H42" s="47">
        <f>IF(B42="Peak",0,MIN(MAX('00_Inputs'!$B$22-E42,0),'00_Inputs'!$B$26*MAX($F$38:$F$61)))</f>
        <v>5</v>
      </c>
    </row>
    <row r="43" spans="1:9" x14ac:dyDescent="0.35">
      <c r="A43" s="43">
        <v>5</v>
      </c>
      <c r="B43" s="44" t="str">
        <f t="shared" si="0"/>
        <v>Normal</v>
      </c>
      <c r="C43" s="45">
        <f>IF(A43&lt;6,'00_Inputs'!$B$23,IF(A43&lt;17,'00_Inputs'!$B$24,'00_Inputs'!$B$25))</f>
        <v>5</v>
      </c>
      <c r="D43" s="46"/>
      <c r="E43" s="47">
        <f t="shared" si="1"/>
        <v>5</v>
      </c>
      <c r="F43" s="47">
        <f>IF(B43="Peak",MIN(E43,'00_Inputs'!$B$22),0)</f>
        <v>0</v>
      </c>
      <c r="G43" s="47">
        <f t="shared" si="2"/>
        <v>0</v>
      </c>
      <c r="H43" s="47">
        <f>IF(B43="Peak",0,MIN(MAX('00_Inputs'!$B$22-E43,0),'00_Inputs'!$B$26*MAX($F$38:$F$61)))</f>
        <v>5</v>
      </c>
    </row>
    <row r="44" spans="1:9" x14ac:dyDescent="0.35">
      <c r="A44" s="43">
        <v>6</v>
      </c>
      <c r="B44" s="44" t="str">
        <f t="shared" si="0"/>
        <v>Normal</v>
      </c>
      <c r="C44" s="45">
        <f>IF(A44&lt;6,'00_Inputs'!$B$23,IF(A44&lt;17,'00_Inputs'!$B$24,'00_Inputs'!$B$25))</f>
        <v>7</v>
      </c>
      <c r="D44" s="46"/>
      <c r="E44" s="47">
        <f t="shared" si="1"/>
        <v>7</v>
      </c>
      <c r="F44" s="47">
        <f>IF(B44="Peak",MIN(E44,'00_Inputs'!$B$22),0)</f>
        <v>0</v>
      </c>
      <c r="G44" s="47">
        <f t="shared" si="2"/>
        <v>0</v>
      </c>
      <c r="H44" s="47">
        <f>IF(B44="Peak",0,MIN(MAX('00_Inputs'!$B$22-E44,0),'00_Inputs'!$B$26*MAX($F$38:$F$61)))</f>
        <v>3</v>
      </c>
    </row>
    <row r="45" spans="1:9" x14ac:dyDescent="0.35">
      <c r="A45" s="43">
        <v>7</v>
      </c>
      <c r="B45" s="44" t="str">
        <f t="shared" si="0"/>
        <v>Normal</v>
      </c>
      <c r="C45" s="45">
        <f>IF(A45&lt;6,'00_Inputs'!$B$23,IF(A45&lt;17,'00_Inputs'!$B$24,'00_Inputs'!$B$25))</f>
        <v>7</v>
      </c>
      <c r="D45" s="46"/>
      <c r="E45" s="47">
        <f t="shared" si="1"/>
        <v>7</v>
      </c>
      <c r="F45" s="47">
        <f>IF(B45="Peak",MIN(E45,'00_Inputs'!$B$22),0)</f>
        <v>0</v>
      </c>
      <c r="G45" s="47">
        <f t="shared" si="2"/>
        <v>0</v>
      </c>
      <c r="H45" s="47">
        <f>IF(B45="Peak",0,MIN(MAX('00_Inputs'!$B$22-E45,0),'00_Inputs'!$B$26*MAX($F$38:$F$61)))</f>
        <v>3</v>
      </c>
    </row>
    <row r="46" spans="1:9" x14ac:dyDescent="0.35">
      <c r="A46" s="43">
        <v>8</v>
      </c>
      <c r="B46" s="44" t="str">
        <f t="shared" si="0"/>
        <v>Normal</v>
      </c>
      <c r="C46" s="45">
        <f>IF(A46&lt;6,'00_Inputs'!$B$23,IF(A46&lt;17,'00_Inputs'!$B$24,'00_Inputs'!$B$25))</f>
        <v>7</v>
      </c>
      <c r="D46" s="46"/>
      <c r="E46" s="47">
        <f t="shared" si="1"/>
        <v>7</v>
      </c>
      <c r="F46" s="47">
        <f>IF(B46="Peak",MIN(E46,'00_Inputs'!$B$22),0)</f>
        <v>0</v>
      </c>
      <c r="G46" s="47">
        <f t="shared" si="2"/>
        <v>0</v>
      </c>
      <c r="H46" s="47">
        <f>IF(B46="Peak",0,MIN(MAX('00_Inputs'!$B$22-E46,0),'00_Inputs'!$B$26*MAX($F$38:$F$61)))</f>
        <v>3</v>
      </c>
    </row>
    <row r="47" spans="1:9" x14ac:dyDescent="0.35">
      <c r="A47" s="43">
        <v>9</v>
      </c>
      <c r="B47" s="44" t="str">
        <f t="shared" si="0"/>
        <v>Solar</v>
      </c>
      <c r="C47" s="45">
        <f>IF(A47&lt;6,'00_Inputs'!$B$23,IF(A47&lt;17,'00_Inputs'!$B$24,'00_Inputs'!$B$25))</f>
        <v>7</v>
      </c>
      <c r="D47" s="46"/>
      <c r="E47" s="47">
        <f t="shared" si="1"/>
        <v>7</v>
      </c>
      <c r="F47" s="47">
        <f>IF(B47="Peak",MIN(E47,'00_Inputs'!$B$22),0)</f>
        <v>0</v>
      </c>
      <c r="G47" s="47">
        <f t="shared" si="2"/>
        <v>0</v>
      </c>
      <c r="H47" s="47">
        <f>IF(B47="Peak",0,MIN(MAX('00_Inputs'!$B$22-E47,0),'00_Inputs'!$B$26*MAX($F$38:$F$61)))</f>
        <v>3</v>
      </c>
    </row>
    <row r="48" spans="1:9" x14ac:dyDescent="0.35">
      <c r="A48" s="43">
        <v>10</v>
      </c>
      <c r="B48" s="44" t="str">
        <f t="shared" si="0"/>
        <v>Solar</v>
      </c>
      <c r="C48" s="45">
        <f>IF(A48&lt;6,'00_Inputs'!$B$23,IF(A48&lt;17,'00_Inputs'!$B$24,'00_Inputs'!$B$25))</f>
        <v>7</v>
      </c>
      <c r="D48" s="46"/>
      <c r="E48" s="47">
        <f t="shared" si="1"/>
        <v>7</v>
      </c>
      <c r="F48" s="47">
        <f>IF(B48="Peak",MIN(E48,'00_Inputs'!$B$22),0)</f>
        <v>0</v>
      </c>
      <c r="G48" s="47">
        <f t="shared" si="2"/>
        <v>0</v>
      </c>
      <c r="H48" s="47">
        <f>IF(B48="Peak",0,MIN(MAX('00_Inputs'!$B$22-E48,0),'00_Inputs'!$B$26*MAX($F$38:$F$61)))</f>
        <v>3</v>
      </c>
    </row>
    <row r="49" spans="1:8" x14ac:dyDescent="0.35">
      <c r="A49" s="43">
        <v>11</v>
      </c>
      <c r="B49" s="44" t="str">
        <f t="shared" si="0"/>
        <v>Solar</v>
      </c>
      <c r="C49" s="45">
        <f>IF(A49&lt;6,'00_Inputs'!$B$23,IF(A49&lt;17,'00_Inputs'!$B$24,'00_Inputs'!$B$25))</f>
        <v>7</v>
      </c>
      <c r="D49" s="46"/>
      <c r="E49" s="47">
        <f t="shared" si="1"/>
        <v>7</v>
      </c>
      <c r="F49" s="47">
        <f>IF(B49="Peak",MIN(E49,'00_Inputs'!$B$22),0)</f>
        <v>0</v>
      </c>
      <c r="G49" s="47">
        <f t="shared" si="2"/>
        <v>0</v>
      </c>
      <c r="H49" s="47">
        <f>IF(B49="Peak",0,MIN(MAX('00_Inputs'!$B$22-E49,0),'00_Inputs'!$B$26*MAX($F$38:$F$61)))</f>
        <v>3</v>
      </c>
    </row>
    <row r="50" spans="1:8" x14ac:dyDescent="0.35">
      <c r="A50" s="43">
        <v>12</v>
      </c>
      <c r="B50" s="44" t="str">
        <f t="shared" si="0"/>
        <v>Solar</v>
      </c>
      <c r="C50" s="45">
        <f>IF(A50&lt;6,'00_Inputs'!$B$23,IF(A50&lt;17,'00_Inputs'!$B$24,'00_Inputs'!$B$25))</f>
        <v>7</v>
      </c>
      <c r="D50" s="46"/>
      <c r="E50" s="47">
        <f t="shared" si="1"/>
        <v>7</v>
      </c>
      <c r="F50" s="47">
        <f>IF(B50="Peak",MIN(E50,'00_Inputs'!$B$22),0)</f>
        <v>0</v>
      </c>
      <c r="G50" s="47">
        <f t="shared" si="2"/>
        <v>0</v>
      </c>
      <c r="H50" s="47">
        <f>IF(B50="Peak",0,MIN(MAX('00_Inputs'!$B$22-E50,0),'00_Inputs'!$B$26*MAX($F$38:$F$61)))</f>
        <v>3</v>
      </c>
    </row>
    <row r="51" spans="1:8" x14ac:dyDescent="0.35">
      <c r="A51" s="43">
        <v>13</v>
      </c>
      <c r="B51" s="44" t="str">
        <f t="shared" si="0"/>
        <v>Solar</v>
      </c>
      <c r="C51" s="45">
        <f>IF(A51&lt;6,'00_Inputs'!$B$23,IF(A51&lt;17,'00_Inputs'!$B$24,'00_Inputs'!$B$25))</f>
        <v>7</v>
      </c>
      <c r="D51" s="46"/>
      <c r="E51" s="47">
        <f t="shared" si="1"/>
        <v>7</v>
      </c>
      <c r="F51" s="47">
        <f>IF(B51="Peak",MIN(E51,'00_Inputs'!$B$22),0)</f>
        <v>0</v>
      </c>
      <c r="G51" s="47">
        <f t="shared" si="2"/>
        <v>0</v>
      </c>
      <c r="H51" s="47">
        <f>IF(B51="Peak",0,MIN(MAX('00_Inputs'!$B$22-E51,0),'00_Inputs'!$B$26*MAX($F$38:$F$61)))</f>
        <v>3</v>
      </c>
    </row>
    <row r="52" spans="1:8" x14ac:dyDescent="0.35">
      <c r="A52" s="43">
        <v>14</v>
      </c>
      <c r="B52" s="44" t="str">
        <f t="shared" si="0"/>
        <v>Solar</v>
      </c>
      <c r="C52" s="45">
        <f>IF(A52&lt;6,'00_Inputs'!$B$23,IF(A52&lt;17,'00_Inputs'!$B$24,'00_Inputs'!$B$25))</f>
        <v>7</v>
      </c>
      <c r="D52" s="46"/>
      <c r="E52" s="47">
        <f t="shared" si="1"/>
        <v>7</v>
      </c>
      <c r="F52" s="47">
        <f>IF(B52="Peak",MIN(E52,'00_Inputs'!$B$22),0)</f>
        <v>0</v>
      </c>
      <c r="G52" s="47">
        <f t="shared" si="2"/>
        <v>0</v>
      </c>
      <c r="H52" s="47">
        <f>IF(B52="Peak",0,MIN(MAX('00_Inputs'!$B$22-E52,0),'00_Inputs'!$B$26*MAX($F$38:$F$61)))</f>
        <v>3</v>
      </c>
    </row>
    <row r="53" spans="1:8" x14ac:dyDescent="0.35">
      <c r="A53" s="43">
        <v>15</v>
      </c>
      <c r="B53" s="44" t="str">
        <f t="shared" si="0"/>
        <v>Solar</v>
      </c>
      <c r="C53" s="45">
        <f>IF(A53&lt;6,'00_Inputs'!$B$23,IF(A53&lt;17,'00_Inputs'!$B$24,'00_Inputs'!$B$25))</f>
        <v>7</v>
      </c>
      <c r="D53" s="46"/>
      <c r="E53" s="47">
        <f t="shared" si="1"/>
        <v>7</v>
      </c>
      <c r="F53" s="47">
        <f>IF(B53="Peak",MIN(E53,'00_Inputs'!$B$22),0)</f>
        <v>0</v>
      </c>
      <c r="G53" s="47">
        <f t="shared" si="2"/>
        <v>0</v>
      </c>
      <c r="H53" s="47">
        <f>IF(B53="Peak",0,MIN(MAX('00_Inputs'!$B$22-E53,0),'00_Inputs'!$B$26*MAX($F$38:$F$61)))</f>
        <v>3</v>
      </c>
    </row>
    <row r="54" spans="1:8" x14ac:dyDescent="0.35">
      <c r="A54" s="43">
        <v>16</v>
      </c>
      <c r="B54" s="44" t="str">
        <f t="shared" si="0"/>
        <v>Solar</v>
      </c>
      <c r="C54" s="45">
        <f>IF(A54&lt;6,'00_Inputs'!$B$23,IF(A54&lt;17,'00_Inputs'!$B$24,'00_Inputs'!$B$25))</f>
        <v>7</v>
      </c>
      <c r="D54" s="46"/>
      <c r="E54" s="47">
        <f t="shared" si="1"/>
        <v>7</v>
      </c>
      <c r="F54" s="47">
        <f>IF(B54="Peak",MIN(E54,'00_Inputs'!$B$22),0)</f>
        <v>0</v>
      </c>
      <c r="G54" s="47">
        <f t="shared" si="2"/>
        <v>0</v>
      </c>
      <c r="H54" s="47">
        <f>IF(B54="Peak",0,MIN(MAX('00_Inputs'!$B$22-E54,0),'00_Inputs'!$B$26*MAX($F$38:$F$61)))</f>
        <v>3</v>
      </c>
    </row>
    <row r="55" spans="1:8" x14ac:dyDescent="0.35">
      <c r="A55" s="43">
        <v>17</v>
      </c>
      <c r="B55" s="44" t="str">
        <f t="shared" si="0"/>
        <v>Peak</v>
      </c>
      <c r="C55" s="45">
        <f>IF(A55&lt;6,'00_Inputs'!$B$23,IF(A55&lt;17,'00_Inputs'!$B$24,'00_Inputs'!$B$25))</f>
        <v>9</v>
      </c>
      <c r="D55" s="46"/>
      <c r="E55" s="47">
        <f t="shared" si="1"/>
        <v>9</v>
      </c>
      <c r="F55" s="47">
        <f>IF(B55="Peak",MIN(E55,'00_Inputs'!$B$22),0)</f>
        <v>9</v>
      </c>
      <c r="G55" s="47">
        <f t="shared" si="2"/>
        <v>7.2330286137832784</v>
      </c>
      <c r="H55" s="47">
        <f>IF(B55="Peak",0,MIN(MAX('00_Inputs'!$B$22-E55,0),'00_Inputs'!$B$26*MAX($F$38:$F$61)))</f>
        <v>0</v>
      </c>
    </row>
    <row r="56" spans="1:8" x14ac:dyDescent="0.35">
      <c r="A56" s="43">
        <v>18</v>
      </c>
      <c r="B56" s="44" t="str">
        <f t="shared" si="0"/>
        <v>Peak</v>
      </c>
      <c r="C56" s="45">
        <f>IF(A56&lt;6,'00_Inputs'!$B$23,IF(A56&lt;17,'00_Inputs'!$B$24,'00_Inputs'!$B$25))</f>
        <v>9</v>
      </c>
      <c r="D56" s="46"/>
      <c r="E56" s="47">
        <f t="shared" si="1"/>
        <v>9</v>
      </c>
      <c r="F56" s="47">
        <f>IF(B56="Peak",MIN(E56,'00_Inputs'!$B$22),0)</f>
        <v>9</v>
      </c>
      <c r="G56" s="47">
        <f t="shared" si="2"/>
        <v>7.2330286137832784</v>
      </c>
      <c r="H56" s="47">
        <f>IF(B56="Peak",0,MIN(MAX('00_Inputs'!$B$22-E56,0),'00_Inputs'!$B$26*MAX($F$38:$F$61)))</f>
        <v>0</v>
      </c>
    </row>
    <row r="57" spans="1:8" x14ac:dyDescent="0.35">
      <c r="A57" s="43">
        <v>19</v>
      </c>
      <c r="B57" s="44" t="str">
        <f t="shared" si="0"/>
        <v>Peak</v>
      </c>
      <c r="C57" s="45">
        <f>IF(A57&lt;6,'00_Inputs'!$B$23,IF(A57&lt;17,'00_Inputs'!$B$24,'00_Inputs'!$B$25))</f>
        <v>9</v>
      </c>
      <c r="D57" s="46"/>
      <c r="E57" s="47">
        <f t="shared" si="1"/>
        <v>9</v>
      </c>
      <c r="F57" s="47">
        <f>IF(B57="Peak",MIN(E57,'00_Inputs'!$B$22),0)</f>
        <v>9</v>
      </c>
      <c r="G57" s="47">
        <f t="shared" si="2"/>
        <v>7.2330286137832784</v>
      </c>
      <c r="H57" s="47">
        <f>IF(B57="Peak",0,MIN(MAX('00_Inputs'!$B$22-E57,0),'00_Inputs'!$B$26*MAX($F$38:$F$61)))</f>
        <v>0</v>
      </c>
    </row>
    <row r="58" spans="1:8" x14ac:dyDescent="0.35">
      <c r="A58" s="43">
        <v>20</v>
      </c>
      <c r="B58" s="44" t="str">
        <f t="shared" si="0"/>
        <v>Peak</v>
      </c>
      <c r="C58" s="45">
        <f>IF(A58&lt;6,'00_Inputs'!$B$23,IF(A58&lt;17,'00_Inputs'!$B$24,'00_Inputs'!$B$25))</f>
        <v>9</v>
      </c>
      <c r="D58" s="46"/>
      <c r="E58" s="47">
        <f t="shared" si="1"/>
        <v>9</v>
      </c>
      <c r="F58" s="47">
        <f>IF(B58="Peak",MIN(E58,'00_Inputs'!$B$22),0)</f>
        <v>9</v>
      </c>
      <c r="G58" s="47">
        <f t="shared" si="2"/>
        <v>7.2330286137832784</v>
      </c>
      <c r="H58" s="47">
        <f>IF(B58="Peak",0,MIN(MAX('00_Inputs'!$B$22-E58,0),'00_Inputs'!$B$26*MAX($F$38:$F$61)))</f>
        <v>0</v>
      </c>
    </row>
    <row r="59" spans="1:8" x14ac:dyDescent="0.35">
      <c r="A59" s="43">
        <v>21</v>
      </c>
      <c r="B59" s="44" t="str">
        <f t="shared" si="0"/>
        <v>Peak</v>
      </c>
      <c r="C59" s="45">
        <f>IF(A59&lt;6,'00_Inputs'!$B$23,IF(A59&lt;17,'00_Inputs'!$B$24,'00_Inputs'!$B$25))</f>
        <v>9</v>
      </c>
      <c r="D59" s="46"/>
      <c r="E59" s="47">
        <f t="shared" si="1"/>
        <v>9</v>
      </c>
      <c r="F59" s="47">
        <f>IF(B59="Peak",MIN(E59,'00_Inputs'!$B$22),0)</f>
        <v>9</v>
      </c>
      <c r="G59" s="47">
        <f t="shared" si="2"/>
        <v>7.2330286137832784</v>
      </c>
      <c r="H59" s="47">
        <f>IF(B59="Peak",0,MIN(MAX('00_Inputs'!$B$22-E59,0),'00_Inputs'!$B$26*MAX($F$38:$F$61)))</f>
        <v>0</v>
      </c>
    </row>
    <row r="60" spans="1:8" x14ac:dyDescent="0.35">
      <c r="A60" s="43">
        <v>22</v>
      </c>
      <c r="B60" s="44" t="str">
        <f t="shared" si="0"/>
        <v>Peak</v>
      </c>
      <c r="C60" s="45">
        <f>IF(A60&lt;6,'00_Inputs'!$B$23,IF(A60&lt;17,'00_Inputs'!$B$24,'00_Inputs'!$B$25))</f>
        <v>9</v>
      </c>
      <c r="D60" s="46"/>
      <c r="E60" s="47">
        <f t="shared" si="1"/>
        <v>9</v>
      </c>
      <c r="F60" s="47">
        <f>IF(B60="Peak",MIN(E60,'00_Inputs'!$B$22),0)</f>
        <v>9</v>
      </c>
      <c r="G60" s="47">
        <f t="shared" si="2"/>
        <v>7.2330286137832784</v>
      </c>
      <c r="H60" s="47">
        <f>IF(B60="Peak",0,MIN(MAX('00_Inputs'!$B$22-E60,0),'00_Inputs'!$B$26*MAX($F$38:$F$61)))</f>
        <v>0</v>
      </c>
    </row>
    <row r="61" spans="1:8" x14ac:dyDescent="0.35">
      <c r="A61" s="43">
        <v>23</v>
      </c>
      <c r="B61" s="44" t="str">
        <f t="shared" si="0"/>
        <v>Peak</v>
      </c>
      <c r="C61" s="45">
        <f>IF(A61&lt;6,'00_Inputs'!$B$23,IF(A61&lt;17,'00_Inputs'!$B$24,'00_Inputs'!$B$25))</f>
        <v>9</v>
      </c>
      <c r="D61" s="46"/>
      <c r="E61" s="47">
        <f t="shared" si="1"/>
        <v>9</v>
      </c>
      <c r="F61" s="47">
        <f>IF(B61="Peak",MIN(E61,'00_Inputs'!$B$22),0)</f>
        <v>9</v>
      </c>
      <c r="G61" s="47">
        <f t="shared" si="2"/>
        <v>7.2330286137832784</v>
      </c>
      <c r="H61" s="47">
        <f>IF(B61="Peak",0,MIN(MAX('00_Inputs'!$B$22-E61,0),'00_Inputs'!$B$26*MAX($F$38:$F$61)))</f>
        <v>0</v>
      </c>
    </row>
    <row r="63" spans="1:8" x14ac:dyDescent="0.35">
      <c r="A63" s="3" t="s">
        <v>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6"/>
  <sheetViews>
    <sheetView showGridLines="0" workbookViewId="0"/>
  </sheetViews>
  <sheetFormatPr defaultRowHeight="14.5" x14ac:dyDescent="0.35"/>
  <cols>
    <col min="1" max="1" width="7" customWidth="1"/>
    <col min="2" max="2" width="9" customWidth="1"/>
    <col min="3" max="5" width="13" customWidth="1"/>
    <col min="6" max="6" width="11" customWidth="1"/>
    <col min="7" max="7" width="12" customWidth="1"/>
    <col min="8" max="9" width="13" customWidth="1"/>
    <col min="10" max="10" width="12" customWidth="1"/>
    <col min="11" max="11" width="9" customWidth="1"/>
    <col min="12" max="13" width="14" customWidth="1"/>
    <col min="14" max="14" width="13" customWidth="1"/>
  </cols>
  <sheetData>
    <row r="1" spans="1:5" x14ac:dyDescent="0.35">
      <c r="A1" s="1" t="s">
        <v>127</v>
      </c>
    </row>
    <row r="2" spans="1:5" ht="16.5" x14ac:dyDescent="0.35">
      <c r="A2" s="2" t="s">
        <v>128</v>
      </c>
    </row>
    <row r="3" spans="1:5" x14ac:dyDescent="0.35">
      <c r="A3" s="3" t="s">
        <v>129</v>
      </c>
    </row>
    <row r="5" spans="1:5" x14ac:dyDescent="0.35">
      <c r="A5" s="4" t="s">
        <v>130</v>
      </c>
      <c r="B5" s="5"/>
      <c r="C5" s="5"/>
      <c r="D5" s="5"/>
      <c r="E5" s="5"/>
    </row>
    <row r="6" spans="1:5" x14ac:dyDescent="0.35">
      <c r="A6" s="6" t="s">
        <v>131</v>
      </c>
      <c r="C6" s="26">
        <f>MIN('00_Inputs'!$B$14,'00_Inputs'!$B$13*7/'00_Inputs'!$B$12)</f>
        <v>59.659090909090907</v>
      </c>
      <c r="E6" s="3" t="s">
        <v>132</v>
      </c>
    </row>
    <row r="7" spans="1:5" x14ac:dyDescent="0.35">
      <c r="A7" s="6" t="s">
        <v>133</v>
      </c>
      <c r="C7" s="48">
        <f>CEILING(C6/'00_Inputs'!$B$13,1)</f>
        <v>8</v>
      </c>
    </row>
    <row r="8" spans="1:5" x14ac:dyDescent="0.35">
      <c r="A8" s="6" t="s">
        <v>134</v>
      </c>
      <c r="C8" s="26">
        <f>SUM($H$21:$H$44)</f>
        <v>59.659090909090907</v>
      </c>
    </row>
    <row r="9" spans="1:5" x14ac:dyDescent="0.35">
      <c r="A9" s="6" t="s">
        <v>135</v>
      </c>
      <c r="C9" s="26">
        <f>SUM($I$21:$I$44)</f>
        <v>52.499999999999993</v>
      </c>
    </row>
    <row r="10" spans="1:5" x14ac:dyDescent="0.35">
      <c r="A10" s="6" t="s">
        <v>136</v>
      </c>
      <c r="C10" s="49">
        <f>SUM($L$21:$L$44)</f>
        <v>390698.86363636365</v>
      </c>
      <c r="E10" s="3" t="s">
        <v>137</v>
      </c>
    </row>
    <row r="11" spans="1:5" x14ac:dyDescent="0.35">
      <c r="A11" s="6" t="s">
        <v>138</v>
      </c>
      <c r="C11" s="49">
        <f>SUM($M$21:$M$44)</f>
        <v>531719.99999999988</v>
      </c>
    </row>
    <row r="12" spans="1:5" x14ac:dyDescent="0.35">
      <c r="A12" s="6" t="s">
        <v>139</v>
      </c>
      <c r="C12" s="50">
        <f>(C11-C10)/100000</f>
        <v>1.4102113636363625</v>
      </c>
    </row>
    <row r="13" spans="1:5" x14ac:dyDescent="0.35">
      <c r="A13" s="6" t="s">
        <v>140</v>
      </c>
      <c r="C13" s="51">
        <f>C12*'00_Inputs'!$B$40/100</f>
        <v>4.6536974999999963</v>
      </c>
      <c r="E13" s="3" t="s">
        <v>141</v>
      </c>
    </row>
    <row r="14" spans="1:5" x14ac:dyDescent="0.35">
      <c r="A14" s="6" t="s">
        <v>142</v>
      </c>
      <c r="C14" s="52">
        <f>IF(C8&gt;0,C10/C8/1000,0)</f>
        <v>6.5488571428571429</v>
      </c>
    </row>
    <row r="15" spans="1:5" x14ac:dyDescent="0.35">
      <c r="A15" s="6" t="s">
        <v>143</v>
      </c>
      <c r="C15" s="52">
        <f>IF(C9&gt;0,C11/C9/1000,0)</f>
        <v>10.128</v>
      </c>
    </row>
    <row r="16" spans="1:5" x14ac:dyDescent="0.35">
      <c r="A16" s="6" t="s">
        <v>144</v>
      </c>
      <c r="C16" s="52">
        <f>C15-C14/'00_Inputs'!$B$12</f>
        <v>2.6861168831168829</v>
      </c>
      <c r="E16" s="3" t="s">
        <v>145</v>
      </c>
    </row>
    <row r="17" spans="1:14" x14ac:dyDescent="0.35">
      <c r="A17" s="6" t="s">
        <v>146</v>
      </c>
      <c r="C17" s="53">
        <f>$J$44/'00_Inputs'!$B$14</f>
        <v>0</v>
      </c>
      <c r="E17" s="3" t="s">
        <v>147</v>
      </c>
    </row>
    <row r="20" spans="1:14" ht="26.5" x14ac:dyDescent="0.35">
      <c r="A20" s="42" t="s">
        <v>117</v>
      </c>
      <c r="B20" s="42" t="s">
        <v>118</v>
      </c>
      <c r="C20" s="42" t="s">
        <v>148</v>
      </c>
      <c r="D20" s="42" t="s">
        <v>149</v>
      </c>
      <c r="E20" s="42" t="s">
        <v>150</v>
      </c>
      <c r="F20" s="42" t="s">
        <v>151</v>
      </c>
      <c r="G20" s="42" t="s">
        <v>152</v>
      </c>
      <c r="H20" s="42" t="s">
        <v>153</v>
      </c>
      <c r="I20" s="42" t="s">
        <v>154</v>
      </c>
      <c r="J20" s="42" t="s">
        <v>155</v>
      </c>
      <c r="K20" s="42" t="s">
        <v>156</v>
      </c>
      <c r="L20" s="42" t="s">
        <v>157</v>
      </c>
      <c r="M20" s="42" t="s">
        <v>158</v>
      </c>
      <c r="N20" s="42" t="s">
        <v>159</v>
      </c>
    </row>
    <row r="21" spans="1:14" x14ac:dyDescent="0.35">
      <c r="A21" s="43">
        <v>0</v>
      </c>
      <c r="B21" s="44" t="str">
        <f t="shared" ref="B21:B44" si="0">IF(A21&gt;=17,"Peak",IF(A21&gt;=9,"Solar","Normal"))</f>
        <v>Normal</v>
      </c>
      <c r="C21" s="54">
        <f>INDEX(Prices!$B$2:$D$25,A21+1,'00_Inputs'!$B$7)</f>
        <v>4.2</v>
      </c>
      <c r="D21" s="17">
        <f>C21+'00_Inputs'!$B$19</f>
        <v>7.85</v>
      </c>
      <c r="E21" s="17">
        <f>'00_Inputs'!$B$16*IF(B21="Peak",'00_Inputs'!$B$17,IF(B21="Solar",'00_Inputs'!$B$18,1))</f>
        <v>8.44</v>
      </c>
      <c r="F21" s="55">
        <f t="shared" ref="F21:F44" si="1">IF(B21="Peak","",SUMPRODUCT(($B$21:$B$44&lt;&gt;"Peak")*($D$21:$D$44&lt;D21))+1)</f>
        <v>14</v>
      </c>
      <c r="G21" s="55">
        <f>IF(B21="Peak",0,IF(AND(F21&lt;=$C$7,D21&lt;'00_Inputs'!$B$12*'00_Inputs'!$B$20),1,0))</f>
        <v>0</v>
      </c>
      <c r="H21" s="47">
        <f>IF(G21=1,MIN('00_Inputs'!$B$13,$C$6),0)</f>
        <v>0</v>
      </c>
      <c r="I21" s="47">
        <f>0</f>
        <v>0</v>
      </c>
      <c r="J21" s="47">
        <f>H21-I21/'00_Inputs'!$B$12</f>
        <v>0</v>
      </c>
      <c r="K21" s="56">
        <f>J21/'00_Inputs'!$B$14</f>
        <v>0</v>
      </c>
      <c r="L21" s="57">
        <f t="shared" ref="L21:L44" si="2">H21*1000*D21</f>
        <v>0</v>
      </c>
      <c r="M21" s="57">
        <f t="shared" ref="M21:M44" si="3">I21*1000*E21</f>
        <v>0</v>
      </c>
      <c r="N21" s="44" t="str">
        <f t="shared" ref="N21:N44" si="4">IF(H21&gt;0,"CHARGE",IF(I21&gt;0,"DISCHARGE","—"))</f>
        <v>—</v>
      </c>
    </row>
    <row r="22" spans="1:14" x14ac:dyDescent="0.35">
      <c r="A22" s="43">
        <v>1</v>
      </c>
      <c r="B22" s="44" t="str">
        <f t="shared" si="0"/>
        <v>Normal</v>
      </c>
      <c r="C22" s="54">
        <f>INDEX(Prices!$B$2:$D$25,A22+1,'00_Inputs'!$B$7)</f>
        <v>3.9</v>
      </c>
      <c r="D22" s="17">
        <f>C22+'00_Inputs'!$B$19</f>
        <v>7.55</v>
      </c>
      <c r="E22" s="17">
        <f>'00_Inputs'!$B$16*IF(B22="Peak",'00_Inputs'!$B$17,IF(B22="Solar",'00_Inputs'!$B$18,1))</f>
        <v>8.44</v>
      </c>
      <c r="F22" s="55">
        <f t="shared" si="1"/>
        <v>11</v>
      </c>
      <c r="G22" s="55">
        <f>IF(B22="Peak",0,IF(AND(F22&lt;=$C$7,D22&lt;'00_Inputs'!$B$12*'00_Inputs'!$B$20),1,0))</f>
        <v>0</v>
      </c>
      <c r="H22" s="47">
        <f>IF(G22=1,MIN('00_Inputs'!$B$13,MAX(0,$C$6-SUM($H$21:H21))),0)</f>
        <v>0</v>
      </c>
      <c r="I22" s="47">
        <f>IF(B22="Peak",MIN('00_Inputs'!$B$13,J21*'00_Inputs'!$B$12),0)</f>
        <v>0</v>
      </c>
      <c r="J22" s="47">
        <f>J21+H22-I22/'00_Inputs'!$B$12</f>
        <v>0</v>
      </c>
      <c r="K22" s="56">
        <f>J22/'00_Inputs'!$B$14</f>
        <v>0</v>
      </c>
      <c r="L22" s="57">
        <f t="shared" si="2"/>
        <v>0</v>
      </c>
      <c r="M22" s="57">
        <f t="shared" si="3"/>
        <v>0</v>
      </c>
      <c r="N22" s="44" t="str">
        <f t="shared" si="4"/>
        <v>—</v>
      </c>
    </row>
    <row r="23" spans="1:14" x14ac:dyDescent="0.35">
      <c r="A23" s="43">
        <v>2</v>
      </c>
      <c r="B23" s="44" t="str">
        <f t="shared" si="0"/>
        <v>Normal</v>
      </c>
      <c r="C23" s="54">
        <f>INDEX(Prices!$B$2:$D$25,A23+1,'00_Inputs'!$B$7)</f>
        <v>3.7</v>
      </c>
      <c r="D23" s="17">
        <f>C23+'00_Inputs'!$B$19</f>
        <v>7.35</v>
      </c>
      <c r="E23" s="17">
        <f>'00_Inputs'!$B$16*IF(B23="Peak",'00_Inputs'!$B$17,IF(B23="Solar",'00_Inputs'!$B$18,1))</f>
        <v>8.44</v>
      </c>
      <c r="F23" s="55">
        <f t="shared" si="1"/>
        <v>9</v>
      </c>
      <c r="G23" s="55">
        <f>IF(B23="Peak",0,IF(AND(F23&lt;=$C$7,D23&lt;'00_Inputs'!$B$12*'00_Inputs'!$B$20),1,0))</f>
        <v>0</v>
      </c>
      <c r="H23" s="47">
        <f>IF(G23=1,MIN('00_Inputs'!$B$13,MAX(0,$C$6-SUM($H$21:H22))),0)</f>
        <v>0</v>
      </c>
      <c r="I23" s="47">
        <f>IF(B23="Peak",MIN('00_Inputs'!$B$13,J22*'00_Inputs'!$B$12),0)</f>
        <v>0</v>
      </c>
      <c r="J23" s="47">
        <f>J22+H23-I23/'00_Inputs'!$B$12</f>
        <v>0</v>
      </c>
      <c r="K23" s="56">
        <f>J23/'00_Inputs'!$B$14</f>
        <v>0</v>
      </c>
      <c r="L23" s="57">
        <f t="shared" si="2"/>
        <v>0</v>
      </c>
      <c r="M23" s="57">
        <f t="shared" si="3"/>
        <v>0</v>
      </c>
      <c r="N23" s="44" t="str">
        <f t="shared" si="4"/>
        <v>—</v>
      </c>
    </row>
    <row r="24" spans="1:14" x14ac:dyDescent="0.35">
      <c r="A24" s="43">
        <v>3</v>
      </c>
      <c r="B24" s="44" t="str">
        <f t="shared" si="0"/>
        <v>Normal</v>
      </c>
      <c r="C24" s="54">
        <f>INDEX(Prices!$B$2:$D$25,A24+1,'00_Inputs'!$B$7)</f>
        <v>3.6</v>
      </c>
      <c r="D24" s="17">
        <f>C24+'00_Inputs'!$B$19</f>
        <v>7.25</v>
      </c>
      <c r="E24" s="17">
        <f>'00_Inputs'!$B$16*IF(B24="Peak",'00_Inputs'!$B$17,IF(B24="Solar",'00_Inputs'!$B$18,1))</f>
        <v>8.44</v>
      </c>
      <c r="F24" s="55">
        <f t="shared" si="1"/>
        <v>8</v>
      </c>
      <c r="G24" s="55">
        <f>IF(B24="Peak",0,IF(AND(F24&lt;=$C$7,D24&lt;'00_Inputs'!$B$12*'00_Inputs'!$B$20),1,0))</f>
        <v>1</v>
      </c>
      <c r="H24" s="47">
        <f>IF(G24=1,MIN('00_Inputs'!$B$13,MAX(0,$C$6-SUM($H$21:H23))),0)</f>
        <v>7.5</v>
      </c>
      <c r="I24" s="47">
        <f>IF(B24="Peak",MIN('00_Inputs'!$B$13,J23*'00_Inputs'!$B$12),0)</f>
        <v>0</v>
      </c>
      <c r="J24" s="47">
        <f>J23+H24-I24/'00_Inputs'!$B$12</f>
        <v>7.5</v>
      </c>
      <c r="K24" s="56">
        <f>J24/'00_Inputs'!$B$14</f>
        <v>9.9681783847787017E-2</v>
      </c>
      <c r="L24" s="57">
        <f t="shared" si="2"/>
        <v>54375</v>
      </c>
      <c r="M24" s="57">
        <f t="shared" si="3"/>
        <v>0</v>
      </c>
      <c r="N24" s="44" t="str">
        <f t="shared" si="4"/>
        <v>CHARGE</v>
      </c>
    </row>
    <row r="25" spans="1:14" x14ac:dyDescent="0.35">
      <c r="A25" s="43">
        <v>4</v>
      </c>
      <c r="B25" s="44" t="str">
        <f t="shared" si="0"/>
        <v>Normal</v>
      </c>
      <c r="C25" s="54">
        <f>INDEX(Prices!$B$2:$D$25,A25+1,'00_Inputs'!$B$7)</f>
        <v>3.5</v>
      </c>
      <c r="D25" s="17">
        <f>C25+'00_Inputs'!$B$19</f>
        <v>7.15</v>
      </c>
      <c r="E25" s="17">
        <f>'00_Inputs'!$B$16*IF(B25="Peak",'00_Inputs'!$B$17,IF(B25="Solar",'00_Inputs'!$B$18,1))</f>
        <v>8.44</v>
      </c>
      <c r="F25" s="55">
        <f t="shared" si="1"/>
        <v>7</v>
      </c>
      <c r="G25" s="55">
        <f>IF(B25="Peak",0,IF(AND(F25&lt;=$C$7,D25&lt;'00_Inputs'!$B$12*'00_Inputs'!$B$20),1,0))</f>
        <v>1</v>
      </c>
      <c r="H25" s="47">
        <f>IF(G25=1,MIN('00_Inputs'!$B$13,MAX(0,$C$6-SUM($H$21:H24))),0)</f>
        <v>7.5</v>
      </c>
      <c r="I25" s="47">
        <f>IF(B25="Peak",MIN('00_Inputs'!$B$13,J24*'00_Inputs'!$B$12),0)</f>
        <v>0</v>
      </c>
      <c r="J25" s="47">
        <f>J24+H25-I25/'00_Inputs'!$B$12</f>
        <v>15</v>
      </c>
      <c r="K25" s="56">
        <f>J25/'00_Inputs'!$B$14</f>
        <v>0.19936356769557403</v>
      </c>
      <c r="L25" s="57">
        <f t="shared" si="2"/>
        <v>53625</v>
      </c>
      <c r="M25" s="57">
        <f t="shared" si="3"/>
        <v>0</v>
      </c>
      <c r="N25" s="44" t="str">
        <f t="shared" si="4"/>
        <v>CHARGE</v>
      </c>
    </row>
    <row r="26" spans="1:14" x14ac:dyDescent="0.35">
      <c r="A26" s="43">
        <v>5</v>
      </c>
      <c r="B26" s="44" t="str">
        <f t="shared" si="0"/>
        <v>Normal</v>
      </c>
      <c r="C26" s="54">
        <f>INDEX(Prices!$B$2:$D$25,A26+1,'00_Inputs'!$B$7)</f>
        <v>3.8</v>
      </c>
      <c r="D26" s="17">
        <f>C26+'00_Inputs'!$B$19</f>
        <v>7.4499999999999993</v>
      </c>
      <c r="E26" s="17">
        <f>'00_Inputs'!$B$16*IF(B26="Peak",'00_Inputs'!$B$17,IF(B26="Solar",'00_Inputs'!$B$18,1))</f>
        <v>8.44</v>
      </c>
      <c r="F26" s="55">
        <f t="shared" si="1"/>
        <v>10</v>
      </c>
      <c r="G26" s="55">
        <f>IF(B26="Peak",0,IF(AND(F26&lt;=$C$7,D26&lt;'00_Inputs'!$B$12*'00_Inputs'!$B$20),1,0))</f>
        <v>0</v>
      </c>
      <c r="H26" s="47">
        <f>IF(G26=1,MIN('00_Inputs'!$B$13,MAX(0,$C$6-SUM($H$21:H25))),0)</f>
        <v>0</v>
      </c>
      <c r="I26" s="47">
        <f>IF(B26="Peak",MIN('00_Inputs'!$B$13,J25*'00_Inputs'!$B$12),0)</f>
        <v>0</v>
      </c>
      <c r="J26" s="47">
        <f>J25+H26-I26/'00_Inputs'!$B$12</f>
        <v>15</v>
      </c>
      <c r="K26" s="56">
        <f>J26/'00_Inputs'!$B$14</f>
        <v>0.19936356769557403</v>
      </c>
      <c r="L26" s="57">
        <f t="shared" si="2"/>
        <v>0</v>
      </c>
      <c r="M26" s="57">
        <f t="shared" si="3"/>
        <v>0</v>
      </c>
      <c r="N26" s="44" t="str">
        <f t="shared" si="4"/>
        <v>—</v>
      </c>
    </row>
    <row r="27" spans="1:14" x14ac:dyDescent="0.35">
      <c r="A27" s="43">
        <v>6</v>
      </c>
      <c r="B27" s="44" t="str">
        <f t="shared" si="0"/>
        <v>Normal</v>
      </c>
      <c r="C27" s="54">
        <f>INDEX(Prices!$B$2:$D$25,A27+1,'00_Inputs'!$B$7)</f>
        <v>4.5999999999999996</v>
      </c>
      <c r="D27" s="17">
        <f>C27+'00_Inputs'!$B$19</f>
        <v>8.25</v>
      </c>
      <c r="E27" s="17">
        <f>'00_Inputs'!$B$16*IF(B27="Peak",'00_Inputs'!$B$17,IF(B27="Solar",'00_Inputs'!$B$18,1))</f>
        <v>8.44</v>
      </c>
      <c r="F27" s="55">
        <f t="shared" si="1"/>
        <v>15</v>
      </c>
      <c r="G27" s="55">
        <f>IF(B27="Peak",0,IF(AND(F27&lt;=$C$7,D27&lt;'00_Inputs'!$B$12*'00_Inputs'!$B$20),1,0))</f>
        <v>0</v>
      </c>
      <c r="H27" s="47">
        <f>IF(G27=1,MIN('00_Inputs'!$B$13,MAX(0,$C$6-SUM($H$21:H26))),0)</f>
        <v>0</v>
      </c>
      <c r="I27" s="47">
        <f>IF(B27="Peak",MIN('00_Inputs'!$B$13,J26*'00_Inputs'!$B$12),0)</f>
        <v>0</v>
      </c>
      <c r="J27" s="47">
        <f>J26+H27-I27/'00_Inputs'!$B$12</f>
        <v>15</v>
      </c>
      <c r="K27" s="56">
        <f>J27/'00_Inputs'!$B$14</f>
        <v>0.19936356769557403</v>
      </c>
      <c r="L27" s="57">
        <f t="shared" si="2"/>
        <v>0</v>
      </c>
      <c r="M27" s="57">
        <f t="shared" si="3"/>
        <v>0</v>
      </c>
      <c r="N27" s="44" t="str">
        <f t="shared" si="4"/>
        <v>—</v>
      </c>
    </row>
    <row r="28" spans="1:14" x14ac:dyDescent="0.35">
      <c r="A28" s="43">
        <v>7</v>
      </c>
      <c r="B28" s="44" t="str">
        <f t="shared" si="0"/>
        <v>Normal</v>
      </c>
      <c r="C28" s="54">
        <f>INDEX(Prices!$B$2:$D$25,A28+1,'00_Inputs'!$B$7)</f>
        <v>5.4</v>
      </c>
      <c r="D28" s="17">
        <f>C28+'00_Inputs'!$B$19</f>
        <v>9.0500000000000007</v>
      </c>
      <c r="E28" s="17">
        <f>'00_Inputs'!$B$16*IF(B28="Peak",'00_Inputs'!$B$17,IF(B28="Solar",'00_Inputs'!$B$18,1))</f>
        <v>8.44</v>
      </c>
      <c r="F28" s="55">
        <f t="shared" si="1"/>
        <v>17</v>
      </c>
      <c r="G28" s="55">
        <f>IF(B28="Peak",0,IF(AND(F28&lt;=$C$7,D28&lt;'00_Inputs'!$B$12*'00_Inputs'!$B$20),1,0))</f>
        <v>0</v>
      </c>
      <c r="H28" s="47">
        <f>IF(G28=1,MIN('00_Inputs'!$B$13,MAX(0,$C$6-SUM($H$21:H27))),0)</f>
        <v>0</v>
      </c>
      <c r="I28" s="47">
        <f>IF(B28="Peak",MIN('00_Inputs'!$B$13,J27*'00_Inputs'!$B$12),0)</f>
        <v>0</v>
      </c>
      <c r="J28" s="47">
        <f>J27+H28-I28/'00_Inputs'!$B$12</f>
        <v>15</v>
      </c>
      <c r="K28" s="56">
        <f>J28/'00_Inputs'!$B$14</f>
        <v>0.19936356769557403</v>
      </c>
      <c r="L28" s="57">
        <f t="shared" si="2"/>
        <v>0</v>
      </c>
      <c r="M28" s="57">
        <f t="shared" si="3"/>
        <v>0</v>
      </c>
      <c r="N28" s="44" t="str">
        <f t="shared" si="4"/>
        <v>—</v>
      </c>
    </row>
    <row r="29" spans="1:14" x14ac:dyDescent="0.35">
      <c r="A29" s="43">
        <v>8</v>
      </c>
      <c r="B29" s="44" t="str">
        <f t="shared" si="0"/>
        <v>Normal</v>
      </c>
      <c r="C29" s="54">
        <f>INDEX(Prices!$B$2:$D$25,A29+1,'00_Inputs'!$B$7)</f>
        <v>5.2</v>
      </c>
      <c r="D29" s="17">
        <f>C29+'00_Inputs'!$B$19</f>
        <v>8.85</v>
      </c>
      <c r="E29" s="17">
        <f>'00_Inputs'!$B$16*IF(B29="Peak",'00_Inputs'!$B$17,IF(B29="Solar",'00_Inputs'!$B$18,1))</f>
        <v>8.44</v>
      </c>
      <c r="F29" s="55">
        <f t="shared" si="1"/>
        <v>16</v>
      </c>
      <c r="G29" s="55">
        <f>IF(B29="Peak",0,IF(AND(F29&lt;=$C$7,D29&lt;'00_Inputs'!$B$12*'00_Inputs'!$B$20),1,0))</f>
        <v>0</v>
      </c>
      <c r="H29" s="47">
        <f>IF(G29=1,MIN('00_Inputs'!$B$13,MAX(0,$C$6-SUM($H$21:H28))),0)</f>
        <v>0</v>
      </c>
      <c r="I29" s="47">
        <f>IF(B29="Peak",MIN('00_Inputs'!$B$13,J28*'00_Inputs'!$B$12),0)</f>
        <v>0</v>
      </c>
      <c r="J29" s="47">
        <f>J28+H29-I29/'00_Inputs'!$B$12</f>
        <v>15</v>
      </c>
      <c r="K29" s="56">
        <f>J29/'00_Inputs'!$B$14</f>
        <v>0.19936356769557403</v>
      </c>
      <c r="L29" s="57">
        <f t="shared" si="2"/>
        <v>0</v>
      </c>
      <c r="M29" s="57">
        <f t="shared" si="3"/>
        <v>0</v>
      </c>
      <c r="N29" s="44" t="str">
        <f t="shared" si="4"/>
        <v>—</v>
      </c>
    </row>
    <row r="30" spans="1:14" x14ac:dyDescent="0.35">
      <c r="A30" s="43">
        <v>9</v>
      </c>
      <c r="B30" s="44" t="str">
        <f t="shared" si="0"/>
        <v>Solar</v>
      </c>
      <c r="C30" s="54">
        <f>INDEX(Prices!$B$2:$D$25,A30+1,'00_Inputs'!$B$7)</f>
        <v>4</v>
      </c>
      <c r="D30" s="17">
        <f>C30+'00_Inputs'!$B$19</f>
        <v>7.65</v>
      </c>
      <c r="E30" s="17">
        <f>'00_Inputs'!$B$16*IF(B30="Peak",'00_Inputs'!$B$17,IF(B30="Solar",'00_Inputs'!$B$18,1))</f>
        <v>7.1739999999999995</v>
      </c>
      <c r="F30" s="55">
        <f t="shared" si="1"/>
        <v>12</v>
      </c>
      <c r="G30" s="55">
        <f>IF(B30="Peak",0,IF(AND(F30&lt;=$C$7,D30&lt;'00_Inputs'!$B$12*'00_Inputs'!$B$20),1,0))</f>
        <v>0</v>
      </c>
      <c r="H30" s="47">
        <f>IF(G30=1,MIN('00_Inputs'!$B$13,MAX(0,$C$6-SUM($H$21:H29))),0)</f>
        <v>0</v>
      </c>
      <c r="I30" s="47">
        <f>IF(B30="Peak",MIN('00_Inputs'!$B$13,J29*'00_Inputs'!$B$12),0)</f>
        <v>0</v>
      </c>
      <c r="J30" s="47">
        <f>J29+H30-I30/'00_Inputs'!$B$12</f>
        <v>15</v>
      </c>
      <c r="K30" s="56">
        <f>J30/'00_Inputs'!$B$14</f>
        <v>0.19936356769557403</v>
      </c>
      <c r="L30" s="57">
        <f t="shared" si="2"/>
        <v>0</v>
      </c>
      <c r="M30" s="57">
        <f t="shared" si="3"/>
        <v>0</v>
      </c>
      <c r="N30" s="44" t="str">
        <f t="shared" si="4"/>
        <v>—</v>
      </c>
    </row>
    <row r="31" spans="1:14" x14ac:dyDescent="0.35">
      <c r="A31" s="43">
        <v>10</v>
      </c>
      <c r="B31" s="44" t="str">
        <f t="shared" si="0"/>
        <v>Solar</v>
      </c>
      <c r="C31" s="54">
        <f>INDEX(Prices!$B$2:$D$25,A31+1,'00_Inputs'!$B$7)</f>
        <v>3</v>
      </c>
      <c r="D31" s="17">
        <f>C31+'00_Inputs'!$B$19</f>
        <v>6.65</v>
      </c>
      <c r="E31" s="17">
        <f>'00_Inputs'!$B$16*IF(B31="Peak",'00_Inputs'!$B$17,IF(B31="Solar",'00_Inputs'!$B$18,1))</f>
        <v>7.1739999999999995</v>
      </c>
      <c r="F31" s="55">
        <f t="shared" si="1"/>
        <v>5</v>
      </c>
      <c r="G31" s="55">
        <f>IF(B31="Peak",0,IF(AND(F31&lt;=$C$7,D31&lt;'00_Inputs'!$B$12*'00_Inputs'!$B$20),1,0))</f>
        <v>1</v>
      </c>
      <c r="H31" s="47">
        <f>IF(G31=1,MIN('00_Inputs'!$B$13,MAX(0,$C$6-SUM($H$21:H30))),0)</f>
        <v>7.5</v>
      </c>
      <c r="I31" s="47">
        <f>IF(B31="Peak",MIN('00_Inputs'!$B$13,J30*'00_Inputs'!$B$12),0)</f>
        <v>0</v>
      </c>
      <c r="J31" s="47">
        <f>J30+H31-I31/'00_Inputs'!$B$12</f>
        <v>22.5</v>
      </c>
      <c r="K31" s="56">
        <f>J31/'00_Inputs'!$B$14</f>
        <v>0.29904535154336104</v>
      </c>
      <c r="L31" s="57">
        <f t="shared" si="2"/>
        <v>49875</v>
      </c>
      <c r="M31" s="57">
        <f t="shared" si="3"/>
        <v>0</v>
      </c>
      <c r="N31" s="44" t="str">
        <f t="shared" si="4"/>
        <v>CHARGE</v>
      </c>
    </row>
    <row r="32" spans="1:14" x14ac:dyDescent="0.35">
      <c r="A32" s="43">
        <v>11</v>
      </c>
      <c r="B32" s="44" t="str">
        <f t="shared" si="0"/>
        <v>Solar</v>
      </c>
      <c r="C32" s="54">
        <f>INDEX(Prices!$B$2:$D$25,A32+1,'00_Inputs'!$B$7)</f>
        <v>2.6</v>
      </c>
      <c r="D32" s="17">
        <f>C32+'00_Inputs'!$B$19</f>
        <v>6.25</v>
      </c>
      <c r="E32" s="17">
        <f>'00_Inputs'!$B$16*IF(B32="Peak",'00_Inputs'!$B$17,IF(B32="Solar",'00_Inputs'!$B$18,1))</f>
        <v>7.1739999999999995</v>
      </c>
      <c r="F32" s="55">
        <f t="shared" si="1"/>
        <v>3</v>
      </c>
      <c r="G32" s="55">
        <f>IF(B32="Peak",0,IF(AND(F32&lt;=$C$7,D32&lt;'00_Inputs'!$B$12*'00_Inputs'!$B$20),1,0))</f>
        <v>1</v>
      </c>
      <c r="H32" s="47">
        <f>IF(G32=1,MIN('00_Inputs'!$B$13,MAX(0,$C$6-SUM($H$21:H31))),0)</f>
        <v>7.5</v>
      </c>
      <c r="I32" s="47">
        <f>IF(B32="Peak",MIN('00_Inputs'!$B$13,J31*'00_Inputs'!$B$12),0)</f>
        <v>0</v>
      </c>
      <c r="J32" s="47">
        <f>J31+H32-I32/'00_Inputs'!$B$12</f>
        <v>30</v>
      </c>
      <c r="K32" s="56">
        <f>J32/'00_Inputs'!$B$14</f>
        <v>0.39872713539114807</v>
      </c>
      <c r="L32" s="57">
        <f t="shared" si="2"/>
        <v>46875</v>
      </c>
      <c r="M32" s="57">
        <f t="shared" si="3"/>
        <v>0</v>
      </c>
      <c r="N32" s="44" t="str">
        <f t="shared" si="4"/>
        <v>CHARGE</v>
      </c>
    </row>
    <row r="33" spans="1:14" x14ac:dyDescent="0.35">
      <c r="A33" s="43">
        <v>12</v>
      </c>
      <c r="B33" s="44" t="str">
        <f t="shared" si="0"/>
        <v>Solar</v>
      </c>
      <c r="C33" s="54">
        <f>INDEX(Prices!$B$2:$D$25,A33+1,'00_Inputs'!$B$7)</f>
        <v>2.4</v>
      </c>
      <c r="D33" s="17">
        <f>C33+'00_Inputs'!$B$19</f>
        <v>6.05</v>
      </c>
      <c r="E33" s="17">
        <f>'00_Inputs'!$B$16*IF(B33="Peak",'00_Inputs'!$B$17,IF(B33="Solar",'00_Inputs'!$B$18,1))</f>
        <v>7.1739999999999995</v>
      </c>
      <c r="F33" s="55">
        <f t="shared" si="1"/>
        <v>1</v>
      </c>
      <c r="G33" s="55">
        <f>IF(B33="Peak",0,IF(AND(F33&lt;=$C$7,D33&lt;'00_Inputs'!$B$12*'00_Inputs'!$B$20),1,0))</f>
        <v>1</v>
      </c>
      <c r="H33" s="47">
        <f>IF(G33=1,MIN('00_Inputs'!$B$13,MAX(0,$C$6-SUM($H$21:H32))),0)</f>
        <v>7.5</v>
      </c>
      <c r="I33" s="47">
        <f>IF(B33="Peak",MIN('00_Inputs'!$B$13,J32*'00_Inputs'!$B$12),0)</f>
        <v>0</v>
      </c>
      <c r="J33" s="47">
        <f>J32+H33-I33/'00_Inputs'!$B$12</f>
        <v>37.5</v>
      </c>
      <c r="K33" s="56">
        <f>J33/'00_Inputs'!$B$14</f>
        <v>0.49840891923893504</v>
      </c>
      <c r="L33" s="57">
        <f t="shared" si="2"/>
        <v>45375</v>
      </c>
      <c r="M33" s="57">
        <f t="shared" si="3"/>
        <v>0</v>
      </c>
      <c r="N33" s="44" t="str">
        <f t="shared" si="4"/>
        <v>CHARGE</v>
      </c>
    </row>
    <row r="34" spans="1:14" x14ac:dyDescent="0.35">
      <c r="A34" s="43">
        <v>13</v>
      </c>
      <c r="B34" s="44" t="str">
        <f t="shared" si="0"/>
        <v>Solar</v>
      </c>
      <c r="C34" s="54">
        <f>INDEX(Prices!$B$2:$D$25,A34+1,'00_Inputs'!$B$7)</f>
        <v>2.4</v>
      </c>
      <c r="D34" s="17">
        <f>C34+'00_Inputs'!$B$19</f>
        <v>6.05</v>
      </c>
      <c r="E34" s="17">
        <f>'00_Inputs'!$B$16*IF(B34="Peak",'00_Inputs'!$B$17,IF(B34="Solar",'00_Inputs'!$B$18,1))</f>
        <v>7.1739999999999995</v>
      </c>
      <c r="F34" s="55">
        <f t="shared" si="1"/>
        <v>1</v>
      </c>
      <c r="G34" s="55">
        <f>IF(B34="Peak",0,IF(AND(F34&lt;=$C$7,D34&lt;'00_Inputs'!$B$12*'00_Inputs'!$B$20),1,0))</f>
        <v>1</v>
      </c>
      <c r="H34" s="47">
        <f>IF(G34=1,MIN('00_Inputs'!$B$13,MAX(0,$C$6-SUM($H$21:H33))),0)</f>
        <v>7.5</v>
      </c>
      <c r="I34" s="47">
        <f>IF(B34="Peak",MIN('00_Inputs'!$B$13,J33*'00_Inputs'!$B$12),0)</f>
        <v>0</v>
      </c>
      <c r="J34" s="47">
        <f>J33+H34-I34/'00_Inputs'!$B$12</f>
        <v>45</v>
      </c>
      <c r="K34" s="56">
        <f>J34/'00_Inputs'!$B$14</f>
        <v>0.59809070308672208</v>
      </c>
      <c r="L34" s="57">
        <f t="shared" si="2"/>
        <v>45375</v>
      </c>
      <c r="M34" s="57">
        <f t="shared" si="3"/>
        <v>0</v>
      </c>
      <c r="N34" s="44" t="str">
        <f t="shared" si="4"/>
        <v>CHARGE</v>
      </c>
    </row>
    <row r="35" spans="1:14" x14ac:dyDescent="0.35">
      <c r="A35" s="43">
        <v>14</v>
      </c>
      <c r="B35" s="44" t="str">
        <f t="shared" si="0"/>
        <v>Solar</v>
      </c>
      <c r="C35" s="54">
        <f>INDEX(Prices!$B$2:$D$25,A35+1,'00_Inputs'!$B$7)</f>
        <v>2.6</v>
      </c>
      <c r="D35" s="17">
        <f>C35+'00_Inputs'!$B$19</f>
        <v>6.25</v>
      </c>
      <c r="E35" s="17">
        <f>'00_Inputs'!$B$16*IF(B35="Peak",'00_Inputs'!$B$17,IF(B35="Solar",'00_Inputs'!$B$18,1))</f>
        <v>7.1739999999999995</v>
      </c>
      <c r="F35" s="55">
        <f t="shared" si="1"/>
        <v>3</v>
      </c>
      <c r="G35" s="55">
        <f>IF(B35="Peak",0,IF(AND(F35&lt;=$C$7,D35&lt;'00_Inputs'!$B$12*'00_Inputs'!$B$20),1,0))</f>
        <v>1</v>
      </c>
      <c r="H35" s="47">
        <f>IF(G35=1,MIN('00_Inputs'!$B$13,MAX(0,$C$6-SUM($H$21:H34))),0)</f>
        <v>7.5</v>
      </c>
      <c r="I35" s="47">
        <f>IF(B35="Peak",MIN('00_Inputs'!$B$13,J34*'00_Inputs'!$B$12),0)</f>
        <v>0</v>
      </c>
      <c r="J35" s="47">
        <f>J34+H35-I35/'00_Inputs'!$B$12</f>
        <v>52.5</v>
      </c>
      <c r="K35" s="56">
        <f>J35/'00_Inputs'!$B$14</f>
        <v>0.69777248693450911</v>
      </c>
      <c r="L35" s="57">
        <f t="shared" si="2"/>
        <v>46875</v>
      </c>
      <c r="M35" s="57">
        <f t="shared" si="3"/>
        <v>0</v>
      </c>
      <c r="N35" s="44" t="str">
        <f t="shared" si="4"/>
        <v>CHARGE</v>
      </c>
    </row>
    <row r="36" spans="1:14" x14ac:dyDescent="0.35">
      <c r="A36" s="43">
        <v>15</v>
      </c>
      <c r="B36" s="44" t="str">
        <f t="shared" si="0"/>
        <v>Solar</v>
      </c>
      <c r="C36" s="54">
        <f>INDEX(Prices!$B$2:$D$25,A36+1,'00_Inputs'!$B$7)</f>
        <v>3.1</v>
      </c>
      <c r="D36" s="17">
        <f>C36+'00_Inputs'!$B$19</f>
        <v>6.75</v>
      </c>
      <c r="E36" s="17">
        <f>'00_Inputs'!$B$16*IF(B36="Peak",'00_Inputs'!$B$17,IF(B36="Solar",'00_Inputs'!$B$18,1))</f>
        <v>7.1739999999999995</v>
      </c>
      <c r="F36" s="55">
        <f t="shared" si="1"/>
        <v>6</v>
      </c>
      <c r="G36" s="55">
        <f>IF(B36="Peak",0,IF(AND(F36&lt;=$C$7,D36&lt;'00_Inputs'!$B$12*'00_Inputs'!$B$20),1,0))</f>
        <v>1</v>
      </c>
      <c r="H36" s="47">
        <f>IF(G36=1,MIN('00_Inputs'!$B$13,MAX(0,$C$6-SUM($H$21:H35))),0)</f>
        <v>7.1590909090909065</v>
      </c>
      <c r="I36" s="47">
        <f>IF(B36="Peak",MIN('00_Inputs'!$B$13,J35*'00_Inputs'!$B$12),0)</f>
        <v>0</v>
      </c>
      <c r="J36" s="47">
        <f>J35+H36-I36/'00_Inputs'!$B$12</f>
        <v>59.659090909090907</v>
      </c>
      <c r="K36" s="56">
        <f>J36/'00_Inputs'!$B$14</f>
        <v>0.7929232806073967</v>
      </c>
      <c r="L36" s="57">
        <f t="shared" si="2"/>
        <v>48323.863636363618</v>
      </c>
      <c r="M36" s="57">
        <f t="shared" si="3"/>
        <v>0</v>
      </c>
      <c r="N36" s="44" t="str">
        <f t="shared" si="4"/>
        <v>CHARGE</v>
      </c>
    </row>
    <row r="37" spans="1:14" x14ac:dyDescent="0.35">
      <c r="A37" s="43">
        <v>16</v>
      </c>
      <c r="B37" s="44" t="str">
        <f t="shared" si="0"/>
        <v>Solar</v>
      </c>
      <c r="C37" s="54">
        <f>INDEX(Prices!$B$2:$D$25,A37+1,'00_Inputs'!$B$7)</f>
        <v>4</v>
      </c>
      <c r="D37" s="17">
        <f>C37+'00_Inputs'!$B$19</f>
        <v>7.65</v>
      </c>
      <c r="E37" s="17">
        <f>'00_Inputs'!$B$16*IF(B37="Peak",'00_Inputs'!$B$17,IF(B37="Solar",'00_Inputs'!$B$18,1))</f>
        <v>7.1739999999999995</v>
      </c>
      <c r="F37" s="55">
        <f t="shared" si="1"/>
        <v>12</v>
      </c>
      <c r="G37" s="55">
        <f>IF(B37="Peak",0,IF(AND(F37&lt;=$C$7,D37&lt;'00_Inputs'!$B$12*'00_Inputs'!$B$20),1,0))</f>
        <v>0</v>
      </c>
      <c r="H37" s="47">
        <f>IF(G37=1,MIN('00_Inputs'!$B$13,MAX(0,$C$6-SUM($H$21:H36))),0)</f>
        <v>0</v>
      </c>
      <c r="I37" s="47">
        <f>IF(B37="Peak",MIN('00_Inputs'!$B$13,J36*'00_Inputs'!$B$12),0)</f>
        <v>0</v>
      </c>
      <c r="J37" s="47">
        <f>J36+H37-I37/'00_Inputs'!$B$12</f>
        <v>59.659090909090907</v>
      </c>
      <c r="K37" s="56">
        <f>J37/'00_Inputs'!$B$14</f>
        <v>0.7929232806073967</v>
      </c>
      <c r="L37" s="57">
        <f t="shared" si="2"/>
        <v>0</v>
      </c>
      <c r="M37" s="57">
        <f t="shared" si="3"/>
        <v>0</v>
      </c>
      <c r="N37" s="44" t="str">
        <f t="shared" si="4"/>
        <v>—</v>
      </c>
    </row>
    <row r="38" spans="1:14" x14ac:dyDescent="0.35">
      <c r="A38" s="43">
        <v>17</v>
      </c>
      <c r="B38" s="44" t="str">
        <f t="shared" si="0"/>
        <v>Peak</v>
      </c>
      <c r="C38" s="54">
        <f>INDEX(Prices!$B$2:$D$25,A38+1,'00_Inputs'!$B$7)</f>
        <v>5.6</v>
      </c>
      <c r="D38" s="17">
        <f>C38+'00_Inputs'!$B$19</f>
        <v>9.25</v>
      </c>
      <c r="E38" s="17">
        <f>'00_Inputs'!$B$16*IF(B38="Peak",'00_Inputs'!$B$17,IF(B38="Solar",'00_Inputs'!$B$18,1))</f>
        <v>10.127999999999998</v>
      </c>
      <c r="F38" s="55" t="str">
        <f t="shared" si="1"/>
        <v/>
      </c>
      <c r="G38" s="55">
        <f>IF(B38="Peak",0,IF(AND(F38&lt;=$C$7,D38&lt;'00_Inputs'!$B$12*'00_Inputs'!$B$20),1,0))</f>
        <v>0</v>
      </c>
      <c r="H38" s="47">
        <f>IF(G38=1,MIN('00_Inputs'!$B$13,MAX(0,$C$6-SUM($H$21:H37))),0)</f>
        <v>0</v>
      </c>
      <c r="I38" s="47">
        <f>IF(B38="Peak",MIN('00_Inputs'!$B$13,J37*'00_Inputs'!$B$12),0)</f>
        <v>7.5</v>
      </c>
      <c r="J38" s="47">
        <f>J37+H38-I38/'00_Inputs'!$B$12</f>
        <v>51.136363636363633</v>
      </c>
      <c r="K38" s="56">
        <f>J38/'00_Inputs'!$B$14</f>
        <v>0.67964852623491145</v>
      </c>
      <c r="L38" s="57">
        <f t="shared" si="2"/>
        <v>0</v>
      </c>
      <c r="M38" s="57">
        <f t="shared" si="3"/>
        <v>75959.999999999985</v>
      </c>
      <c r="N38" s="44" t="str">
        <f t="shared" si="4"/>
        <v>DISCHARGE</v>
      </c>
    </row>
    <row r="39" spans="1:14" x14ac:dyDescent="0.35">
      <c r="A39" s="43">
        <v>18</v>
      </c>
      <c r="B39" s="44" t="str">
        <f t="shared" si="0"/>
        <v>Peak</v>
      </c>
      <c r="C39" s="54">
        <f>INDEX(Prices!$B$2:$D$25,A39+1,'00_Inputs'!$B$7)</f>
        <v>7.2</v>
      </c>
      <c r="D39" s="17">
        <f>C39+'00_Inputs'!$B$19</f>
        <v>10.85</v>
      </c>
      <c r="E39" s="17">
        <f>'00_Inputs'!$B$16*IF(B39="Peak",'00_Inputs'!$B$17,IF(B39="Solar",'00_Inputs'!$B$18,1))</f>
        <v>10.127999999999998</v>
      </c>
      <c r="F39" s="55" t="str">
        <f t="shared" si="1"/>
        <v/>
      </c>
      <c r="G39" s="55">
        <f>IF(B39="Peak",0,IF(AND(F39&lt;=$C$7,D39&lt;'00_Inputs'!$B$12*'00_Inputs'!$B$20),1,0))</f>
        <v>0</v>
      </c>
      <c r="H39" s="47">
        <f>IF(G39=1,MIN('00_Inputs'!$B$13,MAX(0,$C$6-SUM($H$21:H38))),0)</f>
        <v>0</v>
      </c>
      <c r="I39" s="47">
        <f>IF(B39="Peak",MIN('00_Inputs'!$B$13,J38*'00_Inputs'!$B$12),0)</f>
        <v>7.5</v>
      </c>
      <c r="J39" s="47">
        <f>J38+H39-I39/'00_Inputs'!$B$12</f>
        <v>42.61363636363636</v>
      </c>
      <c r="K39" s="56">
        <f>J39/'00_Inputs'!$B$14</f>
        <v>0.56637377186242621</v>
      </c>
      <c r="L39" s="57">
        <f t="shared" si="2"/>
        <v>0</v>
      </c>
      <c r="M39" s="57">
        <f t="shared" si="3"/>
        <v>75959.999999999985</v>
      </c>
      <c r="N39" s="44" t="str">
        <f t="shared" si="4"/>
        <v>DISCHARGE</v>
      </c>
    </row>
    <row r="40" spans="1:14" x14ac:dyDescent="0.35">
      <c r="A40" s="43">
        <v>19</v>
      </c>
      <c r="B40" s="44" t="str">
        <f t="shared" si="0"/>
        <v>Peak</v>
      </c>
      <c r="C40" s="54">
        <f>INDEX(Prices!$B$2:$D$25,A40+1,'00_Inputs'!$B$7)</f>
        <v>8.5</v>
      </c>
      <c r="D40" s="17">
        <f>C40+'00_Inputs'!$B$19</f>
        <v>12.15</v>
      </c>
      <c r="E40" s="17">
        <f>'00_Inputs'!$B$16*IF(B40="Peak",'00_Inputs'!$B$17,IF(B40="Solar",'00_Inputs'!$B$18,1))</f>
        <v>10.127999999999998</v>
      </c>
      <c r="F40" s="55" t="str">
        <f t="shared" si="1"/>
        <v/>
      </c>
      <c r="G40" s="55">
        <f>IF(B40="Peak",0,IF(AND(F40&lt;=$C$7,D40&lt;'00_Inputs'!$B$12*'00_Inputs'!$B$20),1,0))</f>
        <v>0</v>
      </c>
      <c r="H40" s="47">
        <f>IF(G40=1,MIN('00_Inputs'!$B$13,MAX(0,$C$6-SUM($H$21:H39))),0)</f>
        <v>0</v>
      </c>
      <c r="I40" s="47">
        <f>IF(B40="Peak",MIN('00_Inputs'!$B$13,J39*'00_Inputs'!$B$12),0)</f>
        <v>7.5</v>
      </c>
      <c r="J40" s="47">
        <f>J39+H40-I40/'00_Inputs'!$B$12</f>
        <v>34.090909090909086</v>
      </c>
      <c r="K40" s="56">
        <f>J40/'00_Inputs'!$B$14</f>
        <v>0.45309901748994091</v>
      </c>
      <c r="L40" s="57">
        <f t="shared" si="2"/>
        <v>0</v>
      </c>
      <c r="M40" s="57">
        <f t="shared" si="3"/>
        <v>75959.999999999985</v>
      </c>
      <c r="N40" s="44" t="str">
        <f t="shared" si="4"/>
        <v>DISCHARGE</v>
      </c>
    </row>
    <row r="41" spans="1:14" x14ac:dyDescent="0.35">
      <c r="A41" s="43">
        <v>20</v>
      </c>
      <c r="B41" s="44" t="str">
        <f t="shared" si="0"/>
        <v>Peak</v>
      </c>
      <c r="C41" s="54">
        <f>INDEX(Prices!$B$2:$D$25,A41+1,'00_Inputs'!$B$7)</f>
        <v>8.9</v>
      </c>
      <c r="D41" s="17">
        <f>C41+'00_Inputs'!$B$19</f>
        <v>12.55</v>
      </c>
      <c r="E41" s="17">
        <f>'00_Inputs'!$B$16*IF(B41="Peak",'00_Inputs'!$B$17,IF(B41="Solar",'00_Inputs'!$B$18,1))</f>
        <v>10.127999999999998</v>
      </c>
      <c r="F41" s="55" t="str">
        <f t="shared" si="1"/>
        <v/>
      </c>
      <c r="G41" s="55">
        <f>IF(B41="Peak",0,IF(AND(F41&lt;=$C$7,D41&lt;'00_Inputs'!$B$12*'00_Inputs'!$B$20),1,0))</f>
        <v>0</v>
      </c>
      <c r="H41" s="47">
        <f>IF(G41=1,MIN('00_Inputs'!$B$13,MAX(0,$C$6-SUM($H$21:H40))),0)</f>
        <v>0</v>
      </c>
      <c r="I41" s="47">
        <f>IF(B41="Peak",MIN('00_Inputs'!$B$13,J40*'00_Inputs'!$B$12),0)</f>
        <v>7.5</v>
      </c>
      <c r="J41" s="47">
        <f>J40+H41-I41/'00_Inputs'!$B$12</f>
        <v>25.568181818181813</v>
      </c>
      <c r="K41" s="56">
        <f>J41/'00_Inputs'!$B$14</f>
        <v>0.33982426311745567</v>
      </c>
      <c r="L41" s="57">
        <f t="shared" si="2"/>
        <v>0</v>
      </c>
      <c r="M41" s="57">
        <f t="shared" si="3"/>
        <v>75959.999999999985</v>
      </c>
      <c r="N41" s="44" t="str">
        <f t="shared" si="4"/>
        <v>DISCHARGE</v>
      </c>
    </row>
    <row r="42" spans="1:14" x14ac:dyDescent="0.35">
      <c r="A42" s="43">
        <v>21</v>
      </c>
      <c r="B42" s="44" t="str">
        <f t="shared" si="0"/>
        <v>Peak</v>
      </c>
      <c r="C42" s="54">
        <f>INDEX(Prices!$B$2:$D$25,A42+1,'00_Inputs'!$B$7)</f>
        <v>7.8</v>
      </c>
      <c r="D42" s="17">
        <f>C42+'00_Inputs'!$B$19</f>
        <v>11.45</v>
      </c>
      <c r="E42" s="17">
        <f>'00_Inputs'!$B$16*IF(B42="Peak",'00_Inputs'!$B$17,IF(B42="Solar",'00_Inputs'!$B$18,1))</f>
        <v>10.127999999999998</v>
      </c>
      <c r="F42" s="55" t="str">
        <f t="shared" si="1"/>
        <v/>
      </c>
      <c r="G42" s="55">
        <f>IF(B42="Peak",0,IF(AND(F42&lt;=$C$7,D42&lt;'00_Inputs'!$B$12*'00_Inputs'!$B$20),1,0))</f>
        <v>0</v>
      </c>
      <c r="H42" s="47">
        <f>IF(G42=1,MIN('00_Inputs'!$B$13,MAX(0,$C$6-SUM($H$21:H41))),0)</f>
        <v>0</v>
      </c>
      <c r="I42" s="47">
        <f>IF(B42="Peak",MIN('00_Inputs'!$B$13,J41*'00_Inputs'!$B$12),0)</f>
        <v>7.5</v>
      </c>
      <c r="J42" s="47">
        <f>J41+H42-I42/'00_Inputs'!$B$12</f>
        <v>17.04545454545454</v>
      </c>
      <c r="K42" s="56">
        <f>J42/'00_Inputs'!$B$14</f>
        <v>0.2265495087449704</v>
      </c>
      <c r="L42" s="57">
        <f t="shared" si="2"/>
        <v>0</v>
      </c>
      <c r="M42" s="57">
        <f t="shared" si="3"/>
        <v>75959.999999999985</v>
      </c>
      <c r="N42" s="44" t="str">
        <f t="shared" si="4"/>
        <v>DISCHARGE</v>
      </c>
    </row>
    <row r="43" spans="1:14" x14ac:dyDescent="0.35">
      <c r="A43" s="43">
        <v>22</v>
      </c>
      <c r="B43" s="44" t="str">
        <f t="shared" si="0"/>
        <v>Peak</v>
      </c>
      <c r="C43" s="54">
        <f>INDEX(Prices!$B$2:$D$25,A43+1,'00_Inputs'!$B$7)</f>
        <v>6.2</v>
      </c>
      <c r="D43" s="17">
        <f>C43+'00_Inputs'!$B$19</f>
        <v>9.85</v>
      </c>
      <c r="E43" s="17">
        <f>'00_Inputs'!$B$16*IF(B43="Peak",'00_Inputs'!$B$17,IF(B43="Solar",'00_Inputs'!$B$18,1))</f>
        <v>10.127999999999998</v>
      </c>
      <c r="F43" s="55" t="str">
        <f t="shared" si="1"/>
        <v/>
      </c>
      <c r="G43" s="55">
        <f>IF(B43="Peak",0,IF(AND(F43&lt;=$C$7,D43&lt;'00_Inputs'!$B$12*'00_Inputs'!$B$20),1,0))</f>
        <v>0</v>
      </c>
      <c r="H43" s="47">
        <f>IF(G43=1,MIN('00_Inputs'!$B$13,MAX(0,$C$6-SUM($H$21:H42))),0)</f>
        <v>0</v>
      </c>
      <c r="I43" s="47">
        <f>IF(B43="Peak",MIN('00_Inputs'!$B$13,J42*'00_Inputs'!$B$12),0)</f>
        <v>7.5</v>
      </c>
      <c r="J43" s="47">
        <f>J42+H43-I43/'00_Inputs'!$B$12</f>
        <v>8.5227272727272663</v>
      </c>
      <c r="K43" s="56">
        <f>J43/'00_Inputs'!$B$14</f>
        <v>0.11327475437248516</v>
      </c>
      <c r="L43" s="57">
        <f t="shared" si="2"/>
        <v>0</v>
      </c>
      <c r="M43" s="57">
        <f t="shared" si="3"/>
        <v>75959.999999999985</v>
      </c>
      <c r="N43" s="44" t="str">
        <f t="shared" si="4"/>
        <v>DISCHARGE</v>
      </c>
    </row>
    <row r="44" spans="1:14" x14ac:dyDescent="0.35">
      <c r="A44" s="43">
        <v>23</v>
      </c>
      <c r="B44" s="44" t="str">
        <f t="shared" si="0"/>
        <v>Peak</v>
      </c>
      <c r="C44" s="54">
        <f>INDEX(Prices!$B$2:$D$25,A44+1,'00_Inputs'!$B$7)</f>
        <v>5</v>
      </c>
      <c r="D44" s="17">
        <f>C44+'00_Inputs'!$B$19</f>
        <v>8.65</v>
      </c>
      <c r="E44" s="17">
        <f>'00_Inputs'!$B$16*IF(B44="Peak",'00_Inputs'!$B$17,IF(B44="Solar",'00_Inputs'!$B$18,1))</f>
        <v>10.127999999999998</v>
      </c>
      <c r="F44" s="55" t="str">
        <f t="shared" si="1"/>
        <v/>
      </c>
      <c r="G44" s="55">
        <f>IF(B44="Peak",0,IF(AND(F44&lt;=$C$7,D44&lt;'00_Inputs'!$B$12*'00_Inputs'!$B$20),1,0))</f>
        <v>0</v>
      </c>
      <c r="H44" s="47">
        <f>IF(G44=1,MIN('00_Inputs'!$B$13,MAX(0,$C$6-SUM($H$21:H43))),0)</f>
        <v>0</v>
      </c>
      <c r="I44" s="47">
        <f>IF(B44="Peak",MIN('00_Inputs'!$B$13,J43*'00_Inputs'!$B$12),0)</f>
        <v>7.4999999999999947</v>
      </c>
      <c r="J44" s="47">
        <f>J43+H44-I44/'00_Inputs'!$B$12</f>
        <v>0</v>
      </c>
      <c r="K44" s="56">
        <f>J44/'00_Inputs'!$B$14</f>
        <v>0</v>
      </c>
      <c r="L44" s="57">
        <f t="shared" si="2"/>
        <v>0</v>
      </c>
      <c r="M44" s="57">
        <f t="shared" si="3"/>
        <v>75959.999999999927</v>
      </c>
      <c r="N44" s="44" t="str">
        <f t="shared" si="4"/>
        <v>DISCHARGE</v>
      </c>
    </row>
    <row r="46" spans="1:14" x14ac:dyDescent="0.35">
      <c r="A46" s="3" t="s">
        <v>160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7"/>
  <sheetViews>
    <sheetView showGridLines="0" workbookViewId="0"/>
  </sheetViews>
  <sheetFormatPr defaultRowHeight="14.5" x14ac:dyDescent="0.35"/>
  <cols>
    <col min="1" max="1" width="36" customWidth="1"/>
    <col min="2" max="2" width="13" customWidth="1"/>
    <col min="3" max="15" width="11" customWidth="1"/>
  </cols>
  <sheetData>
    <row r="1" spans="1:4" x14ac:dyDescent="0.35">
      <c r="A1" s="1" t="s">
        <v>161</v>
      </c>
    </row>
    <row r="2" spans="1:4" ht="16.5" x14ac:dyDescent="0.35">
      <c r="A2" s="2" t="s">
        <v>162</v>
      </c>
    </row>
    <row r="4" spans="1:4" x14ac:dyDescent="0.35">
      <c r="A4" s="4" t="s">
        <v>163</v>
      </c>
      <c r="B4" s="5"/>
      <c r="C4" s="5"/>
      <c r="D4" s="5"/>
    </row>
    <row r="5" spans="1:4" x14ac:dyDescent="0.35">
      <c r="A5" s="6" t="s">
        <v>164</v>
      </c>
      <c r="B5" s="51">
        <f>C24</f>
        <v>7.5171744791999959</v>
      </c>
    </row>
    <row r="6" spans="1:4" x14ac:dyDescent="0.35">
      <c r="A6" s="6" t="s">
        <v>165</v>
      </c>
      <c r="B6" s="34">
        <f>'00_Inputs'!$B$14*'00_Inputs'!$B$38*1.05</f>
        <v>86.901534720000029</v>
      </c>
      <c r="D6" s="3" t="s">
        <v>166</v>
      </c>
    </row>
    <row r="7" spans="1:4" x14ac:dyDescent="0.35">
      <c r="A7" s="6" t="s">
        <v>167</v>
      </c>
      <c r="B7" s="41" t="str">
        <f>IF(N25&gt;=0,"Y"&amp;(COUNTIF($C$25:$N$25,"&lt;0")+1),"&gt;12 yrs")</f>
        <v>&gt;12 yrs</v>
      </c>
    </row>
    <row r="8" spans="1:4" x14ac:dyDescent="0.35">
      <c r="A8" s="6" t="s">
        <v>168</v>
      </c>
      <c r="B8" s="58">
        <f>IFERROR(IRR(B24:N24),"n/a")</f>
        <v>-1.4367942803022671E-2</v>
      </c>
    </row>
    <row r="9" spans="1:4" x14ac:dyDescent="0.35">
      <c r="A9" s="6" t="s">
        <v>169</v>
      </c>
      <c r="B9" s="34">
        <f>B24+NPV('00_Inputs'!$B$42,C24:N24)</f>
        <v>-44.582158908453415</v>
      </c>
    </row>
    <row r="11" spans="1:4" x14ac:dyDescent="0.35">
      <c r="A11" s="4" t="s">
        <v>170</v>
      </c>
      <c r="B11" s="5"/>
      <c r="C11" s="5"/>
      <c r="D11" s="5"/>
    </row>
    <row r="12" spans="1:4" x14ac:dyDescent="0.35">
      <c r="A12" s="6" t="s">
        <v>171</v>
      </c>
      <c r="B12" s="59">
        <f>'02_Dispatch'!$C$13</f>
        <v>4.6536974999999963</v>
      </c>
    </row>
    <row r="13" spans="1:4" x14ac:dyDescent="0.35">
      <c r="A13" s="6" t="s">
        <v>172</v>
      </c>
      <c r="B13" s="34">
        <f>'00_Inputs'!$B$44*'00_Inputs'!$B$45*12/10000000</f>
        <v>2.7</v>
      </c>
      <c r="D13" s="3" t="s">
        <v>173</v>
      </c>
    </row>
    <row r="14" spans="1:4" x14ac:dyDescent="0.35">
      <c r="A14" s="6" t="s">
        <v>174</v>
      </c>
      <c r="B14" s="34">
        <f>'00_Inputs'!$B$46*'00_Inputs'!$B$13*1000*('00_Inputs'!$B$47-'00_Inputs'!$B$16)/10000000</f>
        <v>1.4670000000000001</v>
      </c>
      <c r="D14" s="3" t="s">
        <v>175</v>
      </c>
    </row>
    <row r="15" spans="1:4" x14ac:dyDescent="0.35">
      <c r="A15" s="41" t="s">
        <v>176</v>
      </c>
      <c r="B15" s="60">
        <f>SUM(B12:B14)</f>
        <v>8.8206974999999961</v>
      </c>
    </row>
    <row r="16" spans="1:4" x14ac:dyDescent="0.35">
      <c r="A16" s="6" t="s">
        <v>177</v>
      </c>
      <c r="B16" s="34">
        <f>-B6*'00_Inputs'!$B$39</f>
        <v>-1.3035230208000004</v>
      </c>
    </row>
    <row r="17" spans="1:15" x14ac:dyDescent="0.35">
      <c r="A17" s="41" t="s">
        <v>178</v>
      </c>
      <c r="B17" s="60">
        <f>B15+B16</f>
        <v>7.5171744791999959</v>
      </c>
    </row>
    <row r="19" spans="1:15" x14ac:dyDescent="0.35">
      <c r="A19" s="4" t="s">
        <v>179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x14ac:dyDescent="0.35">
      <c r="A20" s="42" t="s">
        <v>180</v>
      </c>
      <c r="B20" s="42" t="s">
        <v>181</v>
      </c>
      <c r="C20" s="42" t="s">
        <v>182</v>
      </c>
      <c r="D20" s="42" t="s">
        <v>183</v>
      </c>
      <c r="E20" s="42" t="s">
        <v>184</v>
      </c>
      <c r="F20" s="42" t="s">
        <v>185</v>
      </c>
      <c r="G20" s="42" t="s">
        <v>186</v>
      </c>
      <c r="H20" s="42" t="s">
        <v>187</v>
      </c>
      <c r="I20" s="42" t="s">
        <v>188</v>
      </c>
      <c r="J20" s="42" t="s">
        <v>189</v>
      </c>
      <c r="K20" s="42" t="s">
        <v>190</v>
      </c>
      <c r="L20" s="42" t="s">
        <v>191</v>
      </c>
      <c r="M20" s="42" t="s">
        <v>192</v>
      </c>
      <c r="N20" s="42" t="s">
        <v>193</v>
      </c>
    </row>
    <row r="21" spans="1:15" x14ac:dyDescent="0.35">
      <c r="A21" s="6" t="s">
        <v>194</v>
      </c>
      <c r="C21" s="61">
        <f>'02_Dispatch'!$C$13*(1-'00_Inputs'!$B$41)^(1-1)</f>
        <v>4.6536974999999963</v>
      </c>
      <c r="D21" s="62">
        <f>'02_Dispatch'!$C$13*(1-'00_Inputs'!$B$41)^(2-1)</f>
        <v>4.5606235499999963</v>
      </c>
      <c r="E21" s="62">
        <f>'02_Dispatch'!$C$13*(1-'00_Inputs'!$B$41)^(3-1)</f>
        <v>4.4694110789999959</v>
      </c>
      <c r="F21" s="62">
        <f>'02_Dispatch'!$C$13*(1-'00_Inputs'!$B$41)^(4-1)</f>
        <v>4.3800228574199958</v>
      </c>
      <c r="G21" s="62">
        <f>'02_Dispatch'!$C$13*(1-'00_Inputs'!$B$41)^(5-1)</f>
        <v>4.2924224002715956</v>
      </c>
      <c r="H21" s="62">
        <f>'02_Dispatch'!$C$13*(1-'00_Inputs'!$B$41)^(6-1)</f>
        <v>4.2065739522661634</v>
      </c>
      <c r="I21" s="62">
        <f>'02_Dispatch'!$C$13*(1-'00_Inputs'!$B$41)^(7-1)</f>
        <v>4.1224424732208407</v>
      </c>
      <c r="J21" s="62">
        <f>'02_Dispatch'!$C$13*(1-'00_Inputs'!$B$41)^(8-1)</f>
        <v>4.0399936237564233</v>
      </c>
      <c r="K21" s="62">
        <f>'02_Dispatch'!$C$13*(1-'00_Inputs'!$B$41)^(9-1)</f>
        <v>3.9591937512812949</v>
      </c>
      <c r="L21" s="62">
        <f>'02_Dispatch'!$C$13*(1-'00_Inputs'!$B$41)^(10-1)</f>
        <v>3.8800098762556692</v>
      </c>
      <c r="M21" s="62">
        <f>'02_Dispatch'!$C$13*(1-'00_Inputs'!$B$41)^(11-1)</f>
        <v>3.8024096787305552</v>
      </c>
      <c r="N21" s="62">
        <f>'02_Dispatch'!$C$13*(1-'00_Inputs'!$B$41)^(12-1)</f>
        <v>3.7263614851559441</v>
      </c>
    </row>
    <row r="22" spans="1:15" x14ac:dyDescent="0.35">
      <c r="A22" s="6" t="s">
        <v>195</v>
      </c>
      <c r="C22" s="62">
        <f t="shared" ref="C22:N22" si="0">$B$13+$B$14</f>
        <v>4.1669999999999998</v>
      </c>
      <c r="D22" s="62">
        <f t="shared" si="0"/>
        <v>4.1669999999999998</v>
      </c>
      <c r="E22" s="62">
        <f t="shared" si="0"/>
        <v>4.1669999999999998</v>
      </c>
      <c r="F22" s="62">
        <f t="shared" si="0"/>
        <v>4.1669999999999998</v>
      </c>
      <c r="G22" s="62">
        <f t="shared" si="0"/>
        <v>4.1669999999999998</v>
      </c>
      <c r="H22" s="62">
        <f t="shared" si="0"/>
        <v>4.1669999999999998</v>
      </c>
      <c r="I22" s="62">
        <f t="shared" si="0"/>
        <v>4.1669999999999998</v>
      </c>
      <c r="J22" s="62">
        <f t="shared" si="0"/>
        <v>4.1669999999999998</v>
      </c>
      <c r="K22" s="62">
        <f t="shared" si="0"/>
        <v>4.1669999999999998</v>
      </c>
      <c r="L22" s="62">
        <f t="shared" si="0"/>
        <v>4.1669999999999998</v>
      </c>
      <c r="M22" s="62">
        <f t="shared" si="0"/>
        <v>4.1669999999999998</v>
      </c>
      <c r="N22" s="62">
        <f t="shared" si="0"/>
        <v>4.1669999999999998</v>
      </c>
    </row>
    <row r="23" spans="1:15" x14ac:dyDescent="0.35">
      <c r="A23" s="6" t="s">
        <v>196</v>
      </c>
      <c r="C23" s="62">
        <f>-$B$6*'00_Inputs'!$B$39*1.05^(1-1)</f>
        <v>-1.3035230208000004</v>
      </c>
      <c r="D23" s="62">
        <f>-$B$6*'00_Inputs'!$B$39*1.05^(2-1)</f>
        <v>-1.3686991718400006</v>
      </c>
      <c r="E23" s="62">
        <f>-$B$6*'00_Inputs'!$B$39*1.05^(3-1)</f>
        <v>-1.4371341304320004</v>
      </c>
      <c r="F23" s="62">
        <f>-$B$6*'00_Inputs'!$B$39*1.05^(4-1)</f>
        <v>-1.5089908369536007</v>
      </c>
      <c r="G23" s="62">
        <f>-$B$6*'00_Inputs'!$B$39*1.05^(5-1)</f>
        <v>-1.5844403788012804</v>
      </c>
      <c r="H23" s="62">
        <f>-$B$6*'00_Inputs'!$B$39*1.05^(6-1)</f>
        <v>-1.6636623977413447</v>
      </c>
      <c r="I23" s="62">
        <f>-$B$6*'00_Inputs'!$B$39*1.05^(7-1)</f>
        <v>-1.7468455176284117</v>
      </c>
      <c r="J23" s="62">
        <f>-$B$6*'00_Inputs'!$B$39*1.05^(8-1)</f>
        <v>-1.8341877935098325</v>
      </c>
      <c r="K23" s="62">
        <f>-$B$6*'00_Inputs'!$B$39*1.05^(9-1)</f>
        <v>-1.925897183185324</v>
      </c>
      <c r="L23" s="62">
        <f>-$B$6*'00_Inputs'!$B$39*1.05^(10-1)</f>
        <v>-2.0221920423445905</v>
      </c>
      <c r="M23" s="62">
        <f>-$B$6*'00_Inputs'!$B$39*1.05^(11-1)</f>
        <v>-2.12330164446182</v>
      </c>
      <c r="N23" s="62">
        <f>-$B$6*'00_Inputs'!$B$39*1.05^(12-1)</f>
        <v>-2.2294667266849109</v>
      </c>
    </row>
    <row r="24" spans="1:15" x14ac:dyDescent="0.35">
      <c r="A24" s="41" t="s">
        <v>197</v>
      </c>
      <c r="B24" s="62">
        <f>-B6</f>
        <v>-86.901534720000029</v>
      </c>
      <c r="C24" s="63">
        <f t="shared" ref="C24:N24" si="1">C21+C22+C23</f>
        <v>7.5171744791999959</v>
      </c>
      <c r="D24" s="63">
        <f t="shared" si="1"/>
        <v>7.3589243781599967</v>
      </c>
      <c r="E24" s="63">
        <f t="shared" si="1"/>
        <v>7.1992769485679942</v>
      </c>
      <c r="F24" s="63">
        <f t="shared" si="1"/>
        <v>7.038032020466396</v>
      </c>
      <c r="G24" s="63">
        <f t="shared" si="1"/>
        <v>6.8749820214703146</v>
      </c>
      <c r="H24" s="63">
        <f t="shared" si="1"/>
        <v>6.7099115545248189</v>
      </c>
      <c r="I24" s="63">
        <f t="shared" si="1"/>
        <v>6.5425969555924297</v>
      </c>
      <c r="J24" s="63">
        <f t="shared" si="1"/>
        <v>6.3728058302465911</v>
      </c>
      <c r="K24" s="63">
        <f t="shared" si="1"/>
        <v>6.2002965680959718</v>
      </c>
      <c r="L24" s="63">
        <f t="shared" si="1"/>
        <v>6.0248178339110776</v>
      </c>
      <c r="M24" s="63">
        <f t="shared" si="1"/>
        <v>5.8461080342687346</v>
      </c>
      <c r="N24" s="63">
        <f t="shared" si="1"/>
        <v>5.6638947584710335</v>
      </c>
    </row>
    <row r="25" spans="1:15" x14ac:dyDescent="0.35">
      <c r="A25" s="41" t="s">
        <v>198</v>
      </c>
      <c r="B25" s="62">
        <f>B24</f>
        <v>-86.901534720000029</v>
      </c>
      <c r="C25" s="63">
        <f t="shared" ref="C25:N25" si="2">B25+C24</f>
        <v>-79.384360240800035</v>
      </c>
      <c r="D25" s="63">
        <f t="shared" si="2"/>
        <v>-72.025435862640037</v>
      </c>
      <c r="E25" s="63">
        <f t="shared" si="2"/>
        <v>-64.826158914072039</v>
      </c>
      <c r="F25" s="63">
        <f t="shared" si="2"/>
        <v>-57.788126893605643</v>
      </c>
      <c r="G25" s="63">
        <f t="shared" si="2"/>
        <v>-50.913144872135327</v>
      </c>
      <c r="H25" s="63">
        <f t="shared" si="2"/>
        <v>-44.203233317610511</v>
      </c>
      <c r="I25" s="63">
        <f t="shared" si="2"/>
        <v>-37.660636362018082</v>
      </c>
      <c r="J25" s="63">
        <f t="shared" si="2"/>
        <v>-31.28783053177149</v>
      </c>
      <c r="K25" s="63">
        <f t="shared" si="2"/>
        <v>-25.087533963675519</v>
      </c>
      <c r="L25" s="63">
        <f t="shared" si="2"/>
        <v>-19.062716129764439</v>
      </c>
      <c r="M25" s="63">
        <f t="shared" si="2"/>
        <v>-13.216608095495705</v>
      </c>
      <c r="N25" s="63">
        <f t="shared" si="2"/>
        <v>-7.5527133370246711</v>
      </c>
    </row>
    <row r="27" spans="1:15" x14ac:dyDescent="0.35">
      <c r="A27" s="3" t="s">
        <v>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1"/>
  <sheetViews>
    <sheetView showGridLines="0" workbookViewId="0"/>
  </sheetViews>
  <sheetFormatPr defaultRowHeight="14.5" x14ac:dyDescent="0.35"/>
  <cols>
    <col min="1" max="1" width="13" customWidth="1"/>
    <col min="2" max="3" width="11" customWidth="1"/>
    <col min="4" max="4" width="10" customWidth="1"/>
    <col min="5" max="5" width="13" customWidth="1"/>
    <col min="6" max="6" width="14" customWidth="1"/>
    <col min="7" max="8" width="15" customWidth="1"/>
    <col min="9" max="9" width="42" customWidth="1"/>
  </cols>
  <sheetData>
    <row r="1" spans="1:9" x14ac:dyDescent="0.35">
      <c r="A1" s="1" t="s">
        <v>200</v>
      </c>
    </row>
    <row r="2" spans="1:9" ht="16.5" x14ac:dyDescent="0.35">
      <c r="A2" s="2" t="s">
        <v>201</v>
      </c>
    </row>
    <row r="3" spans="1:9" x14ac:dyDescent="0.35">
      <c r="A3" s="3" t="s">
        <v>202</v>
      </c>
    </row>
    <row r="5" spans="1:9" x14ac:dyDescent="0.35">
      <c r="A5" s="6" t="s">
        <v>203</v>
      </c>
      <c r="C5" s="64">
        <f>H13/1000</f>
        <v>5.0159616000000007</v>
      </c>
      <c r="E5" s="6" t="s">
        <v>204</v>
      </c>
      <c r="G5" s="65">
        <f>C10*C11*C12*C13</f>
        <v>4992</v>
      </c>
      <c r="I5" s="3" t="s">
        <v>205</v>
      </c>
    </row>
    <row r="7" spans="1:9" x14ac:dyDescent="0.35">
      <c r="A7" s="4" t="s">
        <v>206</v>
      </c>
      <c r="B7" s="5"/>
      <c r="C7" s="5"/>
      <c r="D7" s="5"/>
      <c r="E7" s="5"/>
      <c r="F7" s="5"/>
      <c r="G7" s="5"/>
      <c r="H7" s="5"/>
      <c r="I7" s="5"/>
    </row>
    <row r="8" spans="1:9" ht="26.5" x14ac:dyDescent="0.35">
      <c r="A8" s="42" t="s">
        <v>207</v>
      </c>
      <c r="B8" s="42" t="s">
        <v>208</v>
      </c>
      <c r="C8" s="42" t="s">
        <v>209</v>
      </c>
      <c r="D8" s="42" t="s">
        <v>210</v>
      </c>
      <c r="E8" s="42" t="s">
        <v>211</v>
      </c>
      <c r="F8" s="42" t="s">
        <v>212</v>
      </c>
      <c r="G8" s="42" t="s">
        <v>213</v>
      </c>
      <c r="H8" s="42" t="s">
        <v>214</v>
      </c>
      <c r="I8" s="42" t="s">
        <v>125</v>
      </c>
    </row>
    <row r="9" spans="1:9" x14ac:dyDescent="0.35">
      <c r="A9" s="66" t="s">
        <v>215</v>
      </c>
      <c r="E9" s="67">
        <v>3.2</v>
      </c>
      <c r="F9" s="68">
        <v>314</v>
      </c>
      <c r="G9" s="69">
        <f>E9*F9</f>
        <v>1004.8000000000001</v>
      </c>
      <c r="H9" s="70">
        <f>G9/1000</f>
        <v>1.0048000000000001</v>
      </c>
      <c r="I9" s="3" t="s">
        <v>216</v>
      </c>
    </row>
    <row r="10" spans="1:9" x14ac:dyDescent="0.35">
      <c r="A10" s="66" t="s">
        <v>217</v>
      </c>
      <c r="B10" s="44" t="s">
        <v>218</v>
      </c>
      <c r="C10" s="71">
        <v>13</v>
      </c>
      <c r="D10" s="44" t="s">
        <v>219</v>
      </c>
      <c r="E10" s="72">
        <f>C10*E9</f>
        <v>41.6</v>
      </c>
      <c r="F10" s="73">
        <f>F9</f>
        <v>314</v>
      </c>
      <c r="G10" s="69">
        <f>G9*C10</f>
        <v>13062.400000000001</v>
      </c>
      <c r="H10" s="47">
        <f>G10/1000</f>
        <v>13.062400000000002</v>
      </c>
    </row>
    <row r="11" spans="1:9" x14ac:dyDescent="0.35">
      <c r="A11" s="66" t="s">
        <v>220</v>
      </c>
      <c r="B11" s="44" t="s">
        <v>218</v>
      </c>
      <c r="C11" s="71">
        <v>4</v>
      </c>
      <c r="D11" s="44" t="s">
        <v>221</v>
      </c>
      <c r="E11" s="72">
        <f>C11*E10</f>
        <v>166.4</v>
      </c>
      <c r="F11" s="73">
        <f>F10</f>
        <v>314</v>
      </c>
      <c r="G11" s="69">
        <f>G10*C11</f>
        <v>52249.600000000006</v>
      </c>
      <c r="H11" s="47">
        <f>G11/1000</f>
        <v>52.249600000000008</v>
      </c>
    </row>
    <row r="12" spans="1:9" x14ac:dyDescent="0.35">
      <c r="A12" s="66" t="s">
        <v>222</v>
      </c>
      <c r="B12" s="44" t="s">
        <v>218</v>
      </c>
      <c r="C12" s="71">
        <v>8</v>
      </c>
      <c r="D12" s="44" t="s">
        <v>223</v>
      </c>
      <c r="E12" s="72">
        <f>C12*E11</f>
        <v>1331.2</v>
      </c>
      <c r="F12" s="73">
        <f>F11</f>
        <v>314</v>
      </c>
      <c r="G12" s="69">
        <f>G11*C12</f>
        <v>417996.80000000005</v>
      </c>
      <c r="H12" s="47">
        <f>G12/1000</f>
        <v>417.99680000000006</v>
      </c>
      <c r="I12" s="3" t="s">
        <v>224</v>
      </c>
    </row>
    <row r="13" spans="1:9" x14ac:dyDescent="0.35">
      <c r="A13" s="74" t="s">
        <v>225</v>
      </c>
      <c r="B13" s="44" t="s">
        <v>226</v>
      </c>
      <c r="C13" s="71">
        <v>12</v>
      </c>
      <c r="D13" s="44" t="s">
        <v>227</v>
      </c>
      <c r="E13" s="72">
        <f>E12</f>
        <v>1331.2</v>
      </c>
      <c r="F13" s="73">
        <f>F12*C13</f>
        <v>3768</v>
      </c>
      <c r="G13" s="75">
        <f>G12*C13</f>
        <v>5015961.6000000006</v>
      </c>
      <c r="H13" s="76">
        <f>G13/1000</f>
        <v>5015.9616000000005</v>
      </c>
      <c r="I13" s="3" t="s">
        <v>228</v>
      </c>
    </row>
    <row r="16" spans="1:9" x14ac:dyDescent="0.35">
      <c r="A16" s="4" t="s">
        <v>229</v>
      </c>
      <c r="B16" s="5"/>
      <c r="C16" s="5"/>
      <c r="D16" s="5"/>
      <c r="E16" s="5"/>
      <c r="F16" s="5"/>
      <c r="G16" s="5"/>
      <c r="H16" s="5"/>
      <c r="I16" s="5"/>
    </row>
    <row r="17" spans="1:9" ht="26.5" x14ac:dyDescent="0.35">
      <c r="A17" s="42" t="s">
        <v>207</v>
      </c>
      <c r="B17" s="42" t="s">
        <v>208</v>
      </c>
      <c r="C17" s="42" t="s">
        <v>209</v>
      </c>
      <c r="D17" s="42" t="s">
        <v>210</v>
      </c>
      <c r="E17" s="42" t="s">
        <v>211</v>
      </c>
      <c r="F17" s="42" t="s">
        <v>212</v>
      </c>
      <c r="G17" s="42" t="s">
        <v>213</v>
      </c>
      <c r="H17" s="42" t="s">
        <v>214</v>
      </c>
      <c r="I17" s="42" t="s">
        <v>125</v>
      </c>
    </row>
    <row r="18" spans="1:9" x14ac:dyDescent="0.35">
      <c r="A18" s="66" t="s">
        <v>217</v>
      </c>
      <c r="B18" s="44" t="s">
        <v>218</v>
      </c>
      <c r="C18" s="71">
        <v>13</v>
      </c>
      <c r="D18" s="44" t="s">
        <v>219</v>
      </c>
      <c r="E18" s="72">
        <f>C18*$E$9</f>
        <v>41.6</v>
      </c>
      <c r="F18" s="73">
        <f>$F$9</f>
        <v>314</v>
      </c>
      <c r="G18" s="69">
        <f>$G$9*C18</f>
        <v>13062.400000000001</v>
      </c>
      <c r="H18" s="47">
        <f>G18/1000</f>
        <v>13.062400000000002</v>
      </c>
    </row>
    <row r="19" spans="1:9" x14ac:dyDescent="0.35">
      <c r="A19" s="66" t="s">
        <v>220</v>
      </c>
      <c r="B19" s="44" t="s">
        <v>218</v>
      </c>
      <c r="C19" s="71">
        <v>8</v>
      </c>
      <c r="D19" s="44" t="s">
        <v>221</v>
      </c>
      <c r="E19" s="72">
        <f>C19*E18</f>
        <v>332.8</v>
      </c>
      <c r="F19" s="73">
        <f>F18</f>
        <v>314</v>
      </c>
      <c r="G19" s="69">
        <f>G18*C19</f>
        <v>104499.20000000001</v>
      </c>
      <c r="H19" s="47">
        <f>G19/1000</f>
        <v>104.49920000000002</v>
      </c>
    </row>
    <row r="20" spans="1:9" x14ac:dyDescent="0.35">
      <c r="A20" s="66" t="s">
        <v>222</v>
      </c>
      <c r="B20" s="44" t="s">
        <v>218</v>
      </c>
      <c r="C20" s="71">
        <v>8</v>
      </c>
      <c r="D20" s="44" t="s">
        <v>223</v>
      </c>
      <c r="E20" s="72">
        <f>C20*E19</f>
        <v>2662.4</v>
      </c>
      <c r="F20" s="73">
        <f>F19</f>
        <v>314</v>
      </c>
      <c r="G20" s="69">
        <f>G19*C20</f>
        <v>835993.60000000009</v>
      </c>
      <c r="H20" s="47">
        <f>G20/1000</f>
        <v>835.99360000000013</v>
      </c>
      <c r="I20" s="3" t="s">
        <v>230</v>
      </c>
    </row>
    <row r="21" spans="1:9" x14ac:dyDescent="0.35">
      <c r="A21" s="74" t="s">
        <v>225</v>
      </c>
      <c r="B21" s="44" t="s">
        <v>226</v>
      </c>
      <c r="C21" s="71">
        <v>6</v>
      </c>
      <c r="D21" s="44" t="s">
        <v>227</v>
      </c>
      <c r="E21" s="72">
        <f>E20</f>
        <v>2662.4</v>
      </c>
      <c r="F21" s="73">
        <f>F20*C21</f>
        <v>1884</v>
      </c>
      <c r="G21" s="75">
        <f>G20*C21</f>
        <v>5015961.6000000006</v>
      </c>
      <c r="H21" s="76">
        <f>G21/1000</f>
        <v>5015.9616000000005</v>
      </c>
      <c r="I21" s="3" t="s">
        <v>231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3"/>
  <sheetViews>
    <sheetView showGridLines="0" workbookViewId="0"/>
  </sheetViews>
  <sheetFormatPr defaultRowHeight="14.5" x14ac:dyDescent="0.35"/>
  <cols>
    <col min="1" max="1" width="9" customWidth="1"/>
    <col min="2" max="3" width="11" customWidth="1"/>
    <col min="4" max="4" width="14" customWidth="1"/>
    <col min="5" max="5" width="16" customWidth="1"/>
    <col min="6" max="6" width="18" customWidth="1"/>
    <col min="7" max="7" width="16" customWidth="1"/>
    <col min="8" max="8" width="18" customWidth="1"/>
    <col min="9" max="9" width="12" customWidth="1"/>
  </cols>
  <sheetData>
    <row r="1" spans="1:9" x14ac:dyDescent="0.35">
      <c r="A1" s="1" t="s">
        <v>232</v>
      </c>
    </row>
    <row r="2" spans="1:9" ht="16.5" x14ac:dyDescent="0.35">
      <c r="A2" s="2" t="s">
        <v>233</v>
      </c>
    </row>
    <row r="3" spans="1:9" x14ac:dyDescent="0.35">
      <c r="A3" s="3" t="s">
        <v>234</v>
      </c>
    </row>
    <row r="5" spans="1:9" ht="39.5" x14ac:dyDescent="0.35">
      <c r="A5" s="42" t="s">
        <v>235</v>
      </c>
      <c r="B5" s="42" t="s">
        <v>236</v>
      </c>
      <c r="C5" s="42" t="s">
        <v>237</v>
      </c>
      <c r="D5" s="42" t="s">
        <v>148</v>
      </c>
      <c r="E5" s="42" t="s">
        <v>238</v>
      </c>
      <c r="F5" s="42" t="s">
        <v>239</v>
      </c>
      <c r="G5" s="42" t="s">
        <v>240</v>
      </c>
      <c r="H5" s="42" t="s">
        <v>241</v>
      </c>
      <c r="I5" s="42" t="s">
        <v>159</v>
      </c>
    </row>
    <row r="6" spans="1:9" x14ac:dyDescent="0.35">
      <c r="A6" s="55">
        <v>1</v>
      </c>
      <c r="B6" s="44" t="str">
        <f t="shared" ref="B6:B37" si="0">TEXT(TIME(INT((A6-1)*15/60),MOD((A6-1)*15,60),0),"hh:mm")</f>
        <v>00:00</v>
      </c>
      <c r="C6" s="44" t="str">
        <f t="shared" ref="C6:C37" si="1">IF(A6=96,"24:00",TEXT(TIME(INT(A6*15/60),MOD(A6*15,60),0),"hh:mm"))</f>
        <v>00:15</v>
      </c>
      <c r="D6" s="54">
        <f>INDEX('02_Dispatch'!$C$21:$C$44,INT((A6-1)/4)+1)</f>
        <v>4.2</v>
      </c>
      <c r="E6" s="47">
        <f>INDEX('02_Dispatch'!$H$21:$H$44,INT((A6-1)/4)+1)</f>
        <v>0</v>
      </c>
      <c r="F6" s="47">
        <f>INDEX('02_Dispatch'!$I$21:$I$44,INT((A6-1)/4)+1)</f>
        <v>0</v>
      </c>
      <c r="G6" s="47">
        <f t="shared" ref="G6:G37" si="2">E6-F6</f>
        <v>0</v>
      </c>
      <c r="H6" s="77">
        <f>100*(IF(INT((A6-1)/4)=0,0,INDEX('02_Dispatch'!$J$21:$J$44,INT((A6-1)/4)))+(INDEX('02_Dispatch'!$J$21:$J$44,INT((A6-1)/4)+1)-IF(INT((A6-1)/4)=0,0,INDEX('02_Dispatch'!$J$21:$J$44,INT((A6-1)/4))))*(MOD(A6-1,4)+1)/4)/'00_Inputs'!$B$14</f>
        <v>0</v>
      </c>
      <c r="I6" s="44" t="str">
        <f t="shared" ref="I6:I37" si="3">IF(E6&gt;0,"CHARGE",IF(F6&gt;0,"DISCHARGE","—"))</f>
        <v>—</v>
      </c>
    </row>
    <row r="7" spans="1:9" x14ac:dyDescent="0.35">
      <c r="A7" s="55">
        <v>2</v>
      </c>
      <c r="B7" s="44" t="str">
        <f t="shared" si="0"/>
        <v>00:15</v>
      </c>
      <c r="C7" s="44" t="str">
        <f t="shared" si="1"/>
        <v>00:30</v>
      </c>
      <c r="D7" s="54">
        <f>INDEX('02_Dispatch'!$C$21:$C$44,INT((A7-1)/4)+1)</f>
        <v>4.2</v>
      </c>
      <c r="E7" s="47">
        <f>INDEX('02_Dispatch'!$H$21:$H$44,INT((A7-1)/4)+1)</f>
        <v>0</v>
      </c>
      <c r="F7" s="47">
        <f>INDEX('02_Dispatch'!$I$21:$I$44,INT((A7-1)/4)+1)</f>
        <v>0</v>
      </c>
      <c r="G7" s="47">
        <f t="shared" si="2"/>
        <v>0</v>
      </c>
      <c r="H7" s="77">
        <f>100*(IF(INT((A7-1)/4)=0,0,INDEX('02_Dispatch'!$J$21:$J$44,INT((A7-1)/4)))+(INDEX('02_Dispatch'!$J$21:$J$44,INT((A7-1)/4)+1)-IF(INT((A7-1)/4)=0,0,INDEX('02_Dispatch'!$J$21:$J$44,INT((A7-1)/4))))*(MOD(A7-1,4)+1)/4)/'00_Inputs'!$B$14</f>
        <v>0</v>
      </c>
      <c r="I7" s="44" t="str">
        <f t="shared" si="3"/>
        <v>—</v>
      </c>
    </row>
    <row r="8" spans="1:9" x14ac:dyDescent="0.35">
      <c r="A8" s="55">
        <v>3</v>
      </c>
      <c r="B8" s="44" t="str">
        <f t="shared" si="0"/>
        <v>00:30</v>
      </c>
      <c r="C8" s="44" t="str">
        <f t="shared" si="1"/>
        <v>00:45</v>
      </c>
      <c r="D8" s="54">
        <f>INDEX('02_Dispatch'!$C$21:$C$44,INT((A8-1)/4)+1)</f>
        <v>4.2</v>
      </c>
      <c r="E8" s="47">
        <f>INDEX('02_Dispatch'!$H$21:$H$44,INT((A8-1)/4)+1)</f>
        <v>0</v>
      </c>
      <c r="F8" s="47">
        <f>INDEX('02_Dispatch'!$I$21:$I$44,INT((A8-1)/4)+1)</f>
        <v>0</v>
      </c>
      <c r="G8" s="47">
        <f t="shared" si="2"/>
        <v>0</v>
      </c>
      <c r="H8" s="77">
        <f>100*(IF(INT((A8-1)/4)=0,0,INDEX('02_Dispatch'!$J$21:$J$44,INT((A8-1)/4)))+(INDEX('02_Dispatch'!$J$21:$J$44,INT((A8-1)/4)+1)-IF(INT((A8-1)/4)=0,0,INDEX('02_Dispatch'!$J$21:$J$44,INT((A8-1)/4))))*(MOD(A8-1,4)+1)/4)/'00_Inputs'!$B$14</f>
        <v>0</v>
      </c>
      <c r="I8" s="44" t="str">
        <f t="shared" si="3"/>
        <v>—</v>
      </c>
    </row>
    <row r="9" spans="1:9" x14ac:dyDescent="0.35">
      <c r="A9" s="55">
        <v>4</v>
      </c>
      <c r="B9" s="44" t="str">
        <f t="shared" si="0"/>
        <v>00:45</v>
      </c>
      <c r="C9" s="44" t="str">
        <f t="shared" si="1"/>
        <v>01:00</v>
      </c>
      <c r="D9" s="54">
        <f>INDEX('02_Dispatch'!$C$21:$C$44,INT((A9-1)/4)+1)</f>
        <v>4.2</v>
      </c>
      <c r="E9" s="47">
        <f>INDEX('02_Dispatch'!$H$21:$H$44,INT((A9-1)/4)+1)</f>
        <v>0</v>
      </c>
      <c r="F9" s="47">
        <f>INDEX('02_Dispatch'!$I$21:$I$44,INT((A9-1)/4)+1)</f>
        <v>0</v>
      </c>
      <c r="G9" s="47">
        <f t="shared" si="2"/>
        <v>0</v>
      </c>
      <c r="H9" s="77">
        <f>100*(IF(INT((A9-1)/4)=0,0,INDEX('02_Dispatch'!$J$21:$J$44,INT((A9-1)/4)))+(INDEX('02_Dispatch'!$J$21:$J$44,INT((A9-1)/4)+1)-IF(INT((A9-1)/4)=0,0,INDEX('02_Dispatch'!$J$21:$J$44,INT((A9-1)/4))))*(MOD(A9-1,4)+1)/4)/'00_Inputs'!$B$14</f>
        <v>0</v>
      </c>
      <c r="I9" s="44" t="str">
        <f t="shared" si="3"/>
        <v>—</v>
      </c>
    </row>
    <row r="10" spans="1:9" x14ac:dyDescent="0.35">
      <c r="A10" s="55">
        <v>5</v>
      </c>
      <c r="B10" s="44" t="str">
        <f t="shared" si="0"/>
        <v>01:00</v>
      </c>
      <c r="C10" s="44" t="str">
        <f t="shared" si="1"/>
        <v>01:15</v>
      </c>
      <c r="D10" s="54">
        <f>INDEX('02_Dispatch'!$C$21:$C$44,INT((A10-1)/4)+1)</f>
        <v>3.9</v>
      </c>
      <c r="E10" s="47">
        <f>INDEX('02_Dispatch'!$H$21:$H$44,INT((A10-1)/4)+1)</f>
        <v>0</v>
      </c>
      <c r="F10" s="47">
        <f>INDEX('02_Dispatch'!$I$21:$I$44,INT((A10-1)/4)+1)</f>
        <v>0</v>
      </c>
      <c r="G10" s="47">
        <f t="shared" si="2"/>
        <v>0</v>
      </c>
      <c r="H10" s="77">
        <f>100*(IF(INT((A10-1)/4)=0,0,INDEX('02_Dispatch'!$J$21:$J$44,INT((A10-1)/4)))+(INDEX('02_Dispatch'!$J$21:$J$44,INT((A10-1)/4)+1)-IF(INT((A10-1)/4)=0,0,INDEX('02_Dispatch'!$J$21:$J$44,INT((A10-1)/4))))*(MOD(A10-1,4)+1)/4)/'00_Inputs'!$B$14</f>
        <v>0</v>
      </c>
      <c r="I10" s="44" t="str">
        <f t="shared" si="3"/>
        <v>—</v>
      </c>
    </row>
    <row r="11" spans="1:9" x14ac:dyDescent="0.35">
      <c r="A11" s="55">
        <v>6</v>
      </c>
      <c r="B11" s="44" t="str">
        <f t="shared" si="0"/>
        <v>01:15</v>
      </c>
      <c r="C11" s="44" t="str">
        <f t="shared" si="1"/>
        <v>01:30</v>
      </c>
      <c r="D11" s="54">
        <f>INDEX('02_Dispatch'!$C$21:$C$44,INT((A11-1)/4)+1)</f>
        <v>3.9</v>
      </c>
      <c r="E11" s="47">
        <f>INDEX('02_Dispatch'!$H$21:$H$44,INT((A11-1)/4)+1)</f>
        <v>0</v>
      </c>
      <c r="F11" s="47">
        <f>INDEX('02_Dispatch'!$I$21:$I$44,INT((A11-1)/4)+1)</f>
        <v>0</v>
      </c>
      <c r="G11" s="47">
        <f t="shared" si="2"/>
        <v>0</v>
      </c>
      <c r="H11" s="77">
        <f>100*(IF(INT((A11-1)/4)=0,0,INDEX('02_Dispatch'!$J$21:$J$44,INT((A11-1)/4)))+(INDEX('02_Dispatch'!$J$21:$J$44,INT((A11-1)/4)+1)-IF(INT((A11-1)/4)=0,0,INDEX('02_Dispatch'!$J$21:$J$44,INT((A11-1)/4))))*(MOD(A11-1,4)+1)/4)/'00_Inputs'!$B$14</f>
        <v>0</v>
      </c>
      <c r="I11" s="44" t="str">
        <f t="shared" si="3"/>
        <v>—</v>
      </c>
    </row>
    <row r="12" spans="1:9" x14ac:dyDescent="0.35">
      <c r="A12" s="55">
        <v>7</v>
      </c>
      <c r="B12" s="44" t="str">
        <f t="shared" si="0"/>
        <v>01:30</v>
      </c>
      <c r="C12" s="44" t="str">
        <f t="shared" si="1"/>
        <v>01:45</v>
      </c>
      <c r="D12" s="54">
        <f>INDEX('02_Dispatch'!$C$21:$C$44,INT((A12-1)/4)+1)</f>
        <v>3.9</v>
      </c>
      <c r="E12" s="47">
        <f>INDEX('02_Dispatch'!$H$21:$H$44,INT((A12-1)/4)+1)</f>
        <v>0</v>
      </c>
      <c r="F12" s="47">
        <f>INDEX('02_Dispatch'!$I$21:$I$44,INT((A12-1)/4)+1)</f>
        <v>0</v>
      </c>
      <c r="G12" s="47">
        <f t="shared" si="2"/>
        <v>0</v>
      </c>
      <c r="H12" s="77">
        <f>100*(IF(INT((A12-1)/4)=0,0,INDEX('02_Dispatch'!$J$21:$J$44,INT((A12-1)/4)))+(INDEX('02_Dispatch'!$J$21:$J$44,INT((A12-1)/4)+1)-IF(INT((A12-1)/4)=0,0,INDEX('02_Dispatch'!$J$21:$J$44,INT((A12-1)/4))))*(MOD(A12-1,4)+1)/4)/'00_Inputs'!$B$14</f>
        <v>0</v>
      </c>
      <c r="I12" s="44" t="str">
        <f t="shared" si="3"/>
        <v>—</v>
      </c>
    </row>
    <row r="13" spans="1:9" x14ac:dyDescent="0.35">
      <c r="A13" s="55">
        <v>8</v>
      </c>
      <c r="B13" s="44" t="str">
        <f t="shared" si="0"/>
        <v>01:45</v>
      </c>
      <c r="C13" s="44" t="str">
        <f t="shared" si="1"/>
        <v>02:00</v>
      </c>
      <c r="D13" s="54">
        <f>INDEX('02_Dispatch'!$C$21:$C$44,INT((A13-1)/4)+1)</f>
        <v>3.9</v>
      </c>
      <c r="E13" s="47">
        <f>INDEX('02_Dispatch'!$H$21:$H$44,INT((A13-1)/4)+1)</f>
        <v>0</v>
      </c>
      <c r="F13" s="47">
        <f>INDEX('02_Dispatch'!$I$21:$I$44,INT((A13-1)/4)+1)</f>
        <v>0</v>
      </c>
      <c r="G13" s="47">
        <f t="shared" si="2"/>
        <v>0</v>
      </c>
      <c r="H13" s="77">
        <f>100*(IF(INT((A13-1)/4)=0,0,INDEX('02_Dispatch'!$J$21:$J$44,INT((A13-1)/4)))+(INDEX('02_Dispatch'!$J$21:$J$44,INT((A13-1)/4)+1)-IF(INT((A13-1)/4)=0,0,INDEX('02_Dispatch'!$J$21:$J$44,INT((A13-1)/4))))*(MOD(A13-1,4)+1)/4)/'00_Inputs'!$B$14</f>
        <v>0</v>
      </c>
      <c r="I13" s="44" t="str">
        <f t="shared" si="3"/>
        <v>—</v>
      </c>
    </row>
    <row r="14" spans="1:9" x14ac:dyDescent="0.35">
      <c r="A14" s="55">
        <v>9</v>
      </c>
      <c r="B14" s="44" t="str">
        <f t="shared" si="0"/>
        <v>02:00</v>
      </c>
      <c r="C14" s="44" t="str">
        <f t="shared" si="1"/>
        <v>02:15</v>
      </c>
      <c r="D14" s="54">
        <f>INDEX('02_Dispatch'!$C$21:$C$44,INT((A14-1)/4)+1)</f>
        <v>3.7</v>
      </c>
      <c r="E14" s="47">
        <f>INDEX('02_Dispatch'!$H$21:$H$44,INT((A14-1)/4)+1)</f>
        <v>0</v>
      </c>
      <c r="F14" s="47">
        <f>INDEX('02_Dispatch'!$I$21:$I$44,INT((A14-1)/4)+1)</f>
        <v>0</v>
      </c>
      <c r="G14" s="47">
        <f t="shared" si="2"/>
        <v>0</v>
      </c>
      <c r="H14" s="77">
        <f>100*(IF(INT((A14-1)/4)=0,0,INDEX('02_Dispatch'!$J$21:$J$44,INT((A14-1)/4)))+(INDEX('02_Dispatch'!$J$21:$J$44,INT((A14-1)/4)+1)-IF(INT((A14-1)/4)=0,0,INDEX('02_Dispatch'!$J$21:$J$44,INT((A14-1)/4))))*(MOD(A14-1,4)+1)/4)/'00_Inputs'!$B$14</f>
        <v>0</v>
      </c>
      <c r="I14" s="44" t="str">
        <f t="shared" si="3"/>
        <v>—</v>
      </c>
    </row>
    <row r="15" spans="1:9" x14ac:dyDescent="0.35">
      <c r="A15" s="55">
        <v>10</v>
      </c>
      <c r="B15" s="44" t="str">
        <f t="shared" si="0"/>
        <v>02:15</v>
      </c>
      <c r="C15" s="44" t="str">
        <f t="shared" si="1"/>
        <v>02:30</v>
      </c>
      <c r="D15" s="54">
        <f>INDEX('02_Dispatch'!$C$21:$C$44,INT((A15-1)/4)+1)</f>
        <v>3.7</v>
      </c>
      <c r="E15" s="47">
        <f>INDEX('02_Dispatch'!$H$21:$H$44,INT((A15-1)/4)+1)</f>
        <v>0</v>
      </c>
      <c r="F15" s="47">
        <f>INDEX('02_Dispatch'!$I$21:$I$44,INT((A15-1)/4)+1)</f>
        <v>0</v>
      </c>
      <c r="G15" s="47">
        <f t="shared" si="2"/>
        <v>0</v>
      </c>
      <c r="H15" s="77">
        <f>100*(IF(INT((A15-1)/4)=0,0,INDEX('02_Dispatch'!$J$21:$J$44,INT((A15-1)/4)))+(INDEX('02_Dispatch'!$J$21:$J$44,INT((A15-1)/4)+1)-IF(INT((A15-1)/4)=0,0,INDEX('02_Dispatch'!$J$21:$J$44,INT((A15-1)/4))))*(MOD(A15-1,4)+1)/4)/'00_Inputs'!$B$14</f>
        <v>0</v>
      </c>
      <c r="I15" s="44" t="str">
        <f t="shared" si="3"/>
        <v>—</v>
      </c>
    </row>
    <row r="16" spans="1:9" x14ac:dyDescent="0.35">
      <c r="A16" s="55">
        <v>11</v>
      </c>
      <c r="B16" s="44" t="str">
        <f t="shared" si="0"/>
        <v>02:30</v>
      </c>
      <c r="C16" s="44" t="str">
        <f t="shared" si="1"/>
        <v>02:45</v>
      </c>
      <c r="D16" s="54">
        <f>INDEX('02_Dispatch'!$C$21:$C$44,INT((A16-1)/4)+1)</f>
        <v>3.7</v>
      </c>
      <c r="E16" s="47">
        <f>INDEX('02_Dispatch'!$H$21:$H$44,INT((A16-1)/4)+1)</f>
        <v>0</v>
      </c>
      <c r="F16" s="47">
        <f>INDEX('02_Dispatch'!$I$21:$I$44,INT((A16-1)/4)+1)</f>
        <v>0</v>
      </c>
      <c r="G16" s="47">
        <f t="shared" si="2"/>
        <v>0</v>
      </c>
      <c r="H16" s="77">
        <f>100*(IF(INT((A16-1)/4)=0,0,INDEX('02_Dispatch'!$J$21:$J$44,INT((A16-1)/4)))+(INDEX('02_Dispatch'!$J$21:$J$44,INT((A16-1)/4)+1)-IF(INT((A16-1)/4)=0,0,INDEX('02_Dispatch'!$J$21:$J$44,INT((A16-1)/4))))*(MOD(A16-1,4)+1)/4)/'00_Inputs'!$B$14</f>
        <v>0</v>
      </c>
      <c r="I16" s="44" t="str">
        <f t="shared" si="3"/>
        <v>—</v>
      </c>
    </row>
    <row r="17" spans="1:9" x14ac:dyDescent="0.35">
      <c r="A17" s="55">
        <v>12</v>
      </c>
      <c r="B17" s="44" t="str">
        <f t="shared" si="0"/>
        <v>02:45</v>
      </c>
      <c r="C17" s="44" t="str">
        <f t="shared" si="1"/>
        <v>03:00</v>
      </c>
      <c r="D17" s="54">
        <f>INDEX('02_Dispatch'!$C$21:$C$44,INT((A17-1)/4)+1)</f>
        <v>3.7</v>
      </c>
      <c r="E17" s="47">
        <f>INDEX('02_Dispatch'!$H$21:$H$44,INT((A17-1)/4)+1)</f>
        <v>0</v>
      </c>
      <c r="F17" s="47">
        <f>INDEX('02_Dispatch'!$I$21:$I$44,INT((A17-1)/4)+1)</f>
        <v>0</v>
      </c>
      <c r="G17" s="47">
        <f t="shared" si="2"/>
        <v>0</v>
      </c>
      <c r="H17" s="77">
        <f>100*(IF(INT((A17-1)/4)=0,0,INDEX('02_Dispatch'!$J$21:$J$44,INT((A17-1)/4)))+(INDEX('02_Dispatch'!$J$21:$J$44,INT((A17-1)/4)+1)-IF(INT((A17-1)/4)=0,0,INDEX('02_Dispatch'!$J$21:$J$44,INT((A17-1)/4))))*(MOD(A17-1,4)+1)/4)/'00_Inputs'!$B$14</f>
        <v>0</v>
      </c>
      <c r="I17" s="44" t="str">
        <f t="shared" si="3"/>
        <v>—</v>
      </c>
    </row>
    <row r="18" spans="1:9" x14ac:dyDescent="0.35">
      <c r="A18" s="55">
        <v>13</v>
      </c>
      <c r="B18" s="44" t="str">
        <f t="shared" si="0"/>
        <v>03:00</v>
      </c>
      <c r="C18" s="44" t="str">
        <f t="shared" si="1"/>
        <v>03:15</v>
      </c>
      <c r="D18" s="54">
        <f>INDEX('02_Dispatch'!$C$21:$C$44,INT((A18-1)/4)+1)</f>
        <v>3.6</v>
      </c>
      <c r="E18" s="47">
        <f>INDEX('02_Dispatch'!$H$21:$H$44,INT((A18-1)/4)+1)</f>
        <v>7.5</v>
      </c>
      <c r="F18" s="47">
        <f>INDEX('02_Dispatch'!$I$21:$I$44,INT((A18-1)/4)+1)</f>
        <v>0</v>
      </c>
      <c r="G18" s="47">
        <f t="shared" si="2"/>
        <v>7.5</v>
      </c>
      <c r="H18" s="77">
        <f>100*(IF(INT((A18-1)/4)=0,0,INDEX('02_Dispatch'!$J$21:$J$44,INT((A18-1)/4)))+(INDEX('02_Dispatch'!$J$21:$J$44,INT((A18-1)/4)+1)-IF(INT((A18-1)/4)=0,0,INDEX('02_Dispatch'!$J$21:$J$44,INT((A18-1)/4))))*(MOD(A18-1,4)+1)/4)/'00_Inputs'!$B$14</f>
        <v>2.4920445961946753</v>
      </c>
      <c r="I18" s="44" t="str">
        <f t="shared" si="3"/>
        <v>CHARGE</v>
      </c>
    </row>
    <row r="19" spans="1:9" x14ac:dyDescent="0.35">
      <c r="A19" s="55">
        <v>14</v>
      </c>
      <c r="B19" s="44" t="str">
        <f t="shared" si="0"/>
        <v>03:15</v>
      </c>
      <c r="C19" s="44" t="str">
        <f t="shared" si="1"/>
        <v>03:30</v>
      </c>
      <c r="D19" s="54">
        <f>INDEX('02_Dispatch'!$C$21:$C$44,INT((A19-1)/4)+1)</f>
        <v>3.6</v>
      </c>
      <c r="E19" s="47">
        <f>INDEX('02_Dispatch'!$H$21:$H$44,INT((A19-1)/4)+1)</f>
        <v>7.5</v>
      </c>
      <c r="F19" s="47">
        <f>INDEX('02_Dispatch'!$I$21:$I$44,INT((A19-1)/4)+1)</f>
        <v>0</v>
      </c>
      <c r="G19" s="47">
        <f t="shared" si="2"/>
        <v>7.5</v>
      </c>
      <c r="H19" s="77">
        <f>100*(IF(INT((A19-1)/4)=0,0,INDEX('02_Dispatch'!$J$21:$J$44,INT((A19-1)/4)))+(INDEX('02_Dispatch'!$J$21:$J$44,INT((A19-1)/4)+1)-IF(INT((A19-1)/4)=0,0,INDEX('02_Dispatch'!$J$21:$J$44,INT((A19-1)/4))))*(MOD(A19-1,4)+1)/4)/'00_Inputs'!$B$14</f>
        <v>4.9840891923893507</v>
      </c>
      <c r="I19" s="44" t="str">
        <f t="shared" si="3"/>
        <v>CHARGE</v>
      </c>
    </row>
    <row r="20" spans="1:9" x14ac:dyDescent="0.35">
      <c r="A20" s="55">
        <v>15</v>
      </c>
      <c r="B20" s="44" t="str">
        <f t="shared" si="0"/>
        <v>03:30</v>
      </c>
      <c r="C20" s="44" t="str">
        <f t="shared" si="1"/>
        <v>03:45</v>
      </c>
      <c r="D20" s="54">
        <f>INDEX('02_Dispatch'!$C$21:$C$44,INT((A20-1)/4)+1)</f>
        <v>3.6</v>
      </c>
      <c r="E20" s="47">
        <f>INDEX('02_Dispatch'!$H$21:$H$44,INT((A20-1)/4)+1)</f>
        <v>7.5</v>
      </c>
      <c r="F20" s="47">
        <f>INDEX('02_Dispatch'!$I$21:$I$44,INT((A20-1)/4)+1)</f>
        <v>0</v>
      </c>
      <c r="G20" s="47">
        <f t="shared" si="2"/>
        <v>7.5</v>
      </c>
      <c r="H20" s="77">
        <f>100*(IF(INT((A20-1)/4)=0,0,INDEX('02_Dispatch'!$J$21:$J$44,INT((A20-1)/4)))+(INDEX('02_Dispatch'!$J$21:$J$44,INT((A20-1)/4)+1)-IF(INT((A20-1)/4)=0,0,INDEX('02_Dispatch'!$J$21:$J$44,INT((A20-1)/4))))*(MOD(A20-1,4)+1)/4)/'00_Inputs'!$B$14</f>
        <v>7.4761337885840264</v>
      </c>
      <c r="I20" s="44" t="str">
        <f t="shared" si="3"/>
        <v>CHARGE</v>
      </c>
    </row>
    <row r="21" spans="1:9" x14ac:dyDescent="0.35">
      <c r="A21" s="55">
        <v>16</v>
      </c>
      <c r="B21" s="44" t="str">
        <f t="shared" si="0"/>
        <v>03:45</v>
      </c>
      <c r="C21" s="44" t="str">
        <f t="shared" si="1"/>
        <v>04:00</v>
      </c>
      <c r="D21" s="54">
        <f>INDEX('02_Dispatch'!$C$21:$C$44,INT((A21-1)/4)+1)</f>
        <v>3.6</v>
      </c>
      <c r="E21" s="47">
        <f>INDEX('02_Dispatch'!$H$21:$H$44,INT((A21-1)/4)+1)</f>
        <v>7.5</v>
      </c>
      <c r="F21" s="47">
        <f>INDEX('02_Dispatch'!$I$21:$I$44,INT((A21-1)/4)+1)</f>
        <v>0</v>
      </c>
      <c r="G21" s="47">
        <f t="shared" si="2"/>
        <v>7.5</v>
      </c>
      <c r="H21" s="77">
        <f>100*(IF(INT((A21-1)/4)=0,0,INDEX('02_Dispatch'!$J$21:$J$44,INT((A21-1)/4)))+(INDEX('02_Dispatch'!$J$21:$J$44,INT((A21-1)/4)+1)-IF(INT((A21-1)/4)=0,0,INDEX('02_Dispatch'!$J$21:$J$44,INT((A21-1)/4))))*(MOD(A21-1,4)+1)/4)/'00_Inputs'!$B$14</f>
        <v>9.9681783847787013</v>
      </c>
      <c r="I21" s="44" t="str">
        <f t="shared" si="3"/>
        <v>CHARGE</v>
      </c>
    </row>
    <row r="22" spans="1:9" x14ac:dyDescent="0.35">
      <c r="A22" s="55">
        <v>17</v>
      </c>
      <c r="B22" s="44" t="str">
        <f t="shared" si="0"/>
        <v>04:00</v>
      </c>
      <c r="C22" s="44" t="str">
        <f t="shared" si="1"/>
        <v>04:15</v>
      </c>
      <c r="D22" s="54">
        <f>INDEX('02_Dispatch'!$C$21:$C$44,INT((A22-1)/4)+1)</f>
        <v>3.5</v>
      </c>
      <c r="E22" s="47">
        <f>INDEX('02_Dispatch'!$H$21:$H$44,INT((A22-1)/4)+1)</f>
        <v>7.5</v>
      </c>
      <c r="F22" s="47">
        <f>INDEX('02_Dispatch'!$I$21:$I$44,INT((A22-1)/4)+1)</f>
        <v>0</v>
      </c>
      <c r="G22" s="47">
        <f t="shared" si="2"/>
        <v>7.5</v>
      </c>
      <c r="H22" s="77">
        <f>100*(IF(INT((A22-1)/4)=0,0,INDEX('02_Dispatch'!$J$21:$J$44,INT((A22-1)/4)))+(INDEX('02_Dispatch'!$J$21:$J$44,INT((A22-1)/4)+1)-IF(INT((A22-1)/4)=0,0,INDEX('02_Dispatch'!$J$21:$J$44,INT((A22-1)/4))))*(MOD(A22-1,4)+1)/4)/'00_Inputs'!$B$14</f>
        <v>12.460222980973377</v>
      </c>
      <c r="I22" s="44" t="str">
        <f t="shared" si="3"/>
        <v>CHARGE</v>
      </c>
    </row>
    <row r="23" spans="1:9" x14ac:dyDescent="0.35">
      <c r="A23" s="55">
        <v>18</v>
      </c>
      <c r="B23" s="44" t="str">
        <f t="shared" si="0"/>
        <v>04:15</v>
      </c>
      <c r="C23" s="44" t="str">
        <f t="shared" si="1"/>
        <v>04:30</v>
      </c>
      <c r="D23" s="54">
        <f>INDEX('02_Dispatch'!$C$21:$C$44,INT((A23-1)/4)+1)</f>
        <v>3.5</v>
      </c>
      <c r="E23" s="47">
        <f>INDEX('02_Dispatch'!$H$21:$H$44,INT((A23-1)/4)+1)</f>
        <v>7.5</v>
      </c>
      <c r="F23" s="47">
        <f>INDEX('02_Dispatch'!$I$21:$I$44,INT((A23-1)/4)+1)</f>
        <v>0</v>
      </c>
      <c r="G23" s="47">
        <f t="shared" si="2"/>
        <v>7.5</v>
      </c>
      <c r="H23" s="77">
        <f>100*(IF(INT((A23-1)/4)=0,0,INDEX('02_Dispatch'!$J$21:$J$44,INT((A23-1)/4)))+(INDEX('02_Dispatch'!$J$21:$J$44,INT((A23-1)/4)+1)-IF(INT((A23-1)/4)=0,0,INDEX('02_Dispatch'!$J$21:$J$44,INT((A23-1)/4))))*(MOD(A23-1,4)+1)/4)/'00_Inputs'!$B$14</f>
        <v>14.952267577168053</v>
      </c>
      <c r="I23" s="44" t="str">
        <f t="shared" si="3"/>
        <v>CHARGE</v>
      </c>
    </row>
    <row r="24" spans="1:9" x14ac:dyDescent="0.35">
      <c r="A24" s="55">
        <v>19</v>
      </c>
      <c r="B24" s="44" t="str">
        <f t="shared" si="0"/>
        <v>04:30</v>
      </c>
      <c r="C24" s="44" t="str">
        <f t="shared" si="1"/>
        <v>04:45</v>
      </c>
      <c r="D24" s="54">
        <f>INDEX('02_Dispatch'!$C$21:$C$44,INT((A24-1)/4)+1)</f>
        <v>3.5</v>
      </c>
      <c r="E24" s="47">
        <f>INDEX('02_Dispatch'!$H$21:$H$44,INT((A24-1)/4)+1)</f>
        <v>7.5</v>
      </c>
      <c r="F24" s="47">
        <f>INDEX('02_Dispatch'!$I$21:$I$44,INT((A24-1)/4)+1)</f>
        <v>0</v>
      </c>
      <c r="G24" s="47">
        <f t="shared" si="2"/>
        <v>7.5</v>
      </c>
      <c r="H24" s="77">
        <f>100*(IF(INT((A24-1)/4)=0,0,INDEX('02_Dispatch'!$J$21:$J$44,INT((A24-1)/4)))+(INDEX('02_Dispatch'!$J$21:$J$44,INT((A24-1)/4)+1)-IF(INT((A24-1)/4)=0,0,INDEX('02_Dispatch'!$J$21:$J$44,INT((A24-1)/4))))*(MOD(A24-1,4)+1)/4)/'00_Inputs'!$B$14</f>
        <v>17.444312173362729</v>
      </c>
      <c r="I24" s="44" t="str">
        <f t="shared" si="3"/>
        <v>CHARGE</v>
      </c>
    </row>
    <row r="25" spans="1:9" x14ac:dyDescent="0.35">
      <c r="A25" s="55">
        <v>20</v>
      </c>
      <c r="B25" s="44" t="str">
        <f t="shared" si="0"/>
        <v>04:45</v>
      </c>
      <c r="C25" s="44" t="str">
        <f t="shared" si="1"/>
        <v>05:00</v>
      </c>
      <c r="D25" s="54">
        <f>INDEX('02_Dispatch'!$C$21:$C$44,INT((A25-1)/4)+1)</f>
        <v>3.5</v>
      </c>
      <c r="E25" s="47">
        <f>INDEX('02_Dispatch'!$H$21:$H$44,INT((A25-1)/4)+1)</f>
        <v>7.5</v>
      </c>
      <c r="F25" s="47">
        <f>INDEX('02_Dispatch'!$I$21:$I$44,INT((A25-1)/4)+1)</f>
        <v>0</v>
      </c>
      <c r="G25" s="47">
        <f t="shared" si="2"/>
        <v>7.5</v>
      </c>
      <c r="H25" s="77">
        <f>100*(IF(INT((A25-1)/4)=0,0,INDEX('02_Dispatch'!$J$21:$J$44,INT((A25-1)/4)))+(INDEX('02_Dispatch'!$J$21:$J$44,INT((A25-1)/4)+1)-IF(INT((A25-1)/4)=0,0,INDEX('02_Dispatch'!$J$21:$J$44,INT((A25-1)/4))))*(MOD(A25-1,4)+1)/4)/'00_Inputs'!$B$14</f>
        <v>19.936356769557403</v>
      </c>
      <c r="I25" s="44" t="str">
        <f t="shared" si="3"/>
        <v>CHARGE</v>
      </c>
    </row>
    <row r="26" spans="1:9" x14ac:dyDescent="0.35">
      <c r="A26" s="55">
        <v>21</v>
      </c>
      <c r="B26" s="44" t="str">
        <f t="shared" si="0"/>
        <v>05:00</v>
      </c>
      <c r="C26" s="44" t="str">
        <f t="shared" si="1"/>
        <v>05:15</v>
      </c>
      <c r="D26" s="54">
        <f>INDEX('02_Dispatch'!$C$21:$C$44,INT((A26-1)/4)+1)</f>
        <v>3.8</v>
      </c>
      <c r="E26" s="47">
        <f>INDEX('02_Dispatch'!$H$21:$H$44,INT((A26-1)/4)+1)</f>
        <v>0</v>
      </c>
      <c r="F26" s="47">
        <f>INDEX('02_Dispatch'!$I$21:$I$44,INT((A26-1)/4)+1)</f>
        <v>0</v>
      </c>
      <c r="G26" s="47">
        <f t="shared" si="2"/>
        <v>0</v>
      </c>
      <c r="H26" s="77">
        <f>100*(IF(INT((A26-1)/4)=0,0,INDEX('02_Dispatch'!$J$21:$J$44,INT((A26-1)/4)))+(INDEX('02_Dispatch'!$J$21:$J$44,INT((A26-1)/4)+1)-IF(INT((A26-1)/4)=0,0,INDEX('02_Dispatch'!$J$21:$J$44,INT((A26-1)/4))))*(MOD(A26-1,4)+1)/4)/'00_Inputs'!$B$14</f>
        <v>19.936356769557403</v>
      </c>
      <c r="I26" s="44" t="str">
        <f t="shared" si="3"/>
        <v>—</v>
      </c>
    </row>
    <row r="27" spans="1:9" x14ac:dyDescent="0.35">
      <c r="A27" s="55">
        <v>22</v>
      </c>
      <c r="B27" s="44" t="str">
        <f t="shared" si="0"/>
        <v>05:15</v>
      </c>
      <c r="C27" s="44" t="str">
        <f t="shared" si="1"/>
        <v>05:30</v>
      </c>
      <c r="D27" s="54">
        <f>INDEX('02_Dispatch'!$C$21:$C$44,INT((A27-1)/4)+1)</f>
        <v>3.8</v>
      </c>
      <c r="E27" s="47">
        <f>INDEX('02_Dispatch'!$H$21:$H$44,INT((A27-1)/4)+1)</f>
        <v>0</v>
      </c>
      <c r="F27" s="47">
        <f>INDEX('02_Dispatch'!$I$21:$I$44,INT((A27-1)/4)+1)</f>
        <v>0</v>
      </c>
      <c r="G27" s="47">
        <f t="shared" si="2"/>
        <v>0</v>
      </c>
      <c r="H27" s="77">
        <f>100*(IF(INT((A27-1)/4)=0,0,INDEX('02_Dispatch'!$J$21:$J$44,INT((A27-1)/4)))+(INDEX('02_Dispatch'!$J$21:$J$44,INT((A27-1)/4)+1)-IF(INT((A27-1)/4)=0,0,INDEX('02_Dispatch'!$J$21:$J$44,INT((A27-1)/4))))*(MOD(A27-1,4)+1)/4)/'00_Inputs'!$B$14</f>
        <v>19.936356769557403</v>
      </c>
      <c r="I27" s="44" t="str">
        <f t="shared" si="3"/>
        <v>—</v>
      </c>
    </row>
    <row r="28" spans="1:9" x14ac:dyDescent="0.35">
      <c r="A28" s="55">
        <v>23</v>
      </c>
      <c r="B28" s="44" t="str">
        <f t="shared" si="0"/>
        <v>05:30</v>
      </c>
      <c r="C28" s="44" t="str">
        <f t="shared" si="1"/>
        <v>05:45</v>
      </c>
      <c r="D28" s="54">
        <f>INDEX('02_Dispatch'!$C$21:$C$44,INT((A28-1)/4)+1)</f>
        <v>3.8</v>
      </c>
      <c r="E28" s="47">
        <f>INDEX('02_Dispatch'!$H$21:$H$44,INT((A28-1)/4)+1)</f>
        <v>0</v>
      </c>
      <c r="F28" s="47">
        <f>INDEX('02_Dispatch'!$I$21:$I$44,INT((A28-1)/4)+1)</f>
        <v>0</v>
      </c>
      <c r="G28" s="47">
        <f t="shared" si="2"/>
        <v>0</v>
      </c>
      <c r="H28" s="77">
        <f>100*(IF(INT((A28-1)/4)=0,0,INDEX('02_Dispatch'!$J$21:$J$44,INT((A28-1)/4)))+(INDEX('02_Dispatch'!$J$21:$J$44,INT((A28-1)/4)+1)-IF(INT((A28-1)/4)=0,0,INDEX('02_Dispatch'!$J$21:$J$44,INT((A28-1)/4))))*(MOD(A28-1,4)+1)/4)/'00_Inputs'!$B$14</f>
        <v>19.936356769557403</v>
      </c>
      <c r="I28" s="44" t="str">
        <f t="shared" si="3"/>
        <v>—</v>
      </c>
    </row>
    <row r="29" spans="1:9" x14ac:dyDescent="0.35">
      <c r="A29" s="55">
        <v>24</v>
      </c>
      <c r="B29" s="44" t="str">
        <f t="shared" si="0"/>
        <v>05:45</v>
      </c>
      <c r="C29" s="44" t="str">
        <f t="shared" si="1"/>
        <v>06:00</v>
      </c>
      <c r="D29" s="54">
        <f>INDEX('02_Dispatch'!$C$21:$C$44,INT((A29-1)/4)+1)</f>
        <v>3.8</v>
      </c>
      <c r="E29" s="47">
        <f>INDEX('02_Dispatch'!$H$21:$H$44,INT((A29-1)/4)+1)</f>
        <v>0</v>
      </c>
      <c r="F29" s="47">
        <f>INDEX('02_Dispatch'!$I$21:$I$44,INT((A29-1)/4)+1)</f>
        <v>0</v>
      </c>
      <c r="G29" s="47">
        <f t="shared" si="2"/>
        <v>0</v>
      </c>
      <c r="H29" s="77">
        <f>100*(IF(INT((A29-1)/4)=0,0,INDEX('02_Dispatch'!$J$21:$J$44,INT((A29-1)/4)))+(INDEX('02_Dispatch'!$J$21:$J$44,INT((A29-1)/4)+1)-IF(INT((A29-1)/4)=0,0,INDEX('02_Dispatch'!$J$21:$J$44,INT((A29-1)/4))))*(MOD(A29-1,4)+1)/4)/'00_Inputs'!$B$14</f>
        <v>19.936356769557403</v>
      </c>
      <c r="I29" s="44" t="str">
        <f t="shared" si="3"/>
        <v>—</v>
      </c>
    </row>
    <row r="30" spans="1:9" x14ac:dyDescent="0.35">
      <c r="A30" s="55">
        <v>25</v>
      </c>
      <c r="B30" s="44" t="str">
        <f t="shared" si="0"/>
        <v>06:00</v>
      </c>
      <c r="C30" s="44" t="str">
        <f t="shared" si="1"/>
        <v>06:15</v>
      </c>
      <c r="D30" s="54">
        <f>INDEX('02_Dispatch'!$C$21:$C$44,INT((A30-1)/4)+1)</f>
        <v>4.5999999999999996</v>
      </c>
      <c r="E30" s="47">
        <f>INDEX('02_Dispatch'!$H$21:$H$44,INT((A30-1)/4)+1)</f>
        <v>0</v>
      </c>
      <c r="F30" s="47">
        <f>INDEX('02_Dispatch'!$I$21:$I$44,INT((A30-1)/4)+1)</f>
        <v>0</v>
      </c>
      <c r="G30" s="47">
        <f t="shared" si="2"/>
        <v>0</v>
      </c>
      <c r="H30" s="77">
        <f>100*(IF(INT((A30-1)/4)=0,0,INDEX('02_Dispatch'!$J$21:$J$44,INT((A30-1)/4)))+(INDEX('02_Dispatch'!$J$21:$J$44,INT((A30-1)/4)+1)-IF(INT((A30-1)/4)=0,0,INDEX('02_Dispatch'!$J$21:$J$44,INT((A30-1)/4))))*(MOD(A30-1,4)+1)/4)/'00_Inputs'!$B$14</f>
        <v>19.936356769557403</v>
      </c>
      <c r="I30" s="44" t="str">
        <f t="shared" si="3"/>
        <v>—</v>
      </c>
    </row>
    <row r="31" spans="1:9" x14ac:dyDescent="0.35">
      <c r="A31" s="55">
        <v>26</v>
      </c>
      <c r="B31" s="44" t="str">
        <f t="shared" si="0"/>
        <v>06:15</v>
      </c>
      <c r="C31" s="44" t="str">
        <f t="shared" si="1"/>
        <v>06:30</v>
      </c>
      <c r="D31" s="54">
        <f>INDEX('02_Dispatch'!$C$21:$C$44,INT((A31-1)/4)+1)</f>
        <v>4.5999999999999996</v>
      </c>
      <c r="E31" s="47">
        <f>INDEX('02_Dispatch'!$H$21:$H$44,INT((A31-1)/4)+1)</f>
        <v>0</v>
      </c>
      <c r="F31" s="47">
        <f>INDEX('02_Dispatch'!$I$21:$I$44,INT((A31-1)/4)+1)</f>
        <v>0</v>
      </c>
      <c r="G31" s="47">
        <f t="shared" si="2"/>
        <v>0</v>
      </c>
      <c r="H31" s="77">
        <f>100*(IF(INT((A31-1)/4)=0,0,INDEX('02_Dispatch'!$J$21:$J$44,INT((A31-1)/4)))+(INDEX('02_Dispatch'!$J$21:$J$44,INT((A31-1)/4)+1)-IF(INT((A31-1)/4)=0,0,INDEX('02_Dispatch'!$J$21:$J$44,INT((A31-1)/4))))*(MOD(A31-1,4)+1)/4)/'00_Inputs'!$B$14</f>
        <v>19.936356769557403</v>
      </c>
      <c r="I31" s="44" t="str">
        <f t="shared" si="3"/>
        <v>—</v>
      </c>
    </row>
    <row r="32" spans="1:9" x14ac:dyDescent="0.35">
      <c r="A32" s="55">
        <v>27</v>
      </c>
      <c r="B32" s="44" t="str">
        <f t="shared" si="0"/>
        <v>06:30</v>
      </c>
      <c r="C32" s="44" t="str">
        <f t="shared" si="1"/>
        <v>06:45</v>
      </c>
      <c r="D32" s="54">
        <f>INDEX('02_Dispatch'!$C$21:$C$44,INT((A32-1)/4)+1)</f>
        <v>4.5999999999999996</v>
      </c>
      <c r="E32" s="47">
        <f>INDEX('02_Dispatch'!$H$21:$H$44,INT((A32-1)/4)+1)</f>
        <v>0</v>
      </c>
      <c r="F32" s="47">
        <f>INDEX('02_Dispatch'!$I$21:$I$44,INT((A32-1)/4)+1)</f>
        <v>0</v>
      </c>
      <c r="G32" s="47">
        <f t="shared" si="2"/>
        <v>0</v>
      </c>
      <c r="H32" s="77">
        <f>100*(IF(INT((A32-1)/4)=0,0,INDEX('02_Dispatch'!$J$21:$J$44,INT((A32-1)/4)))+(INDEX('02_Dispatch'!$J$21:$J$44,INT((A32-1)/4)+1)-IF(INT((A32-1)/4)=0,0,INDEX('02_Dispatch'!$J$21:$J$44,INT((A32-1)/4))))*(MOD(A32-1,4)+1)/4)/'00_Inputs'!$B$14</f>
        <v>19.936356769557403</v>
      </c>
      <c r="I32" s="44" t="str">
        <f t="shared" si="3"/>
        <v>—</v>
      </c>
    </row>
    <row r="33" spans="1:9" x14ac:dyDescent="0.35">
      <c r="A33" s="55">
        <v>28</v>
      </c>
      <c r="B33" s="44" t="str">
        <f t="shared" si="0"/>
        <v>06:45</v>
      </c>
      <c r="C33" s="44" t="str">
        <f t="shared" si="1"/>
        <v>07:00</v>
      </c>
      <c r="D33" s="54">
        <f>INDEX('02_Dispatch'!$C$21:$C$44,INT((A33-1)/4)+1)</f>
        <v>4.5999999999999996</v>
      </c>
      <c r="E33" s="47">
        <f>INDEX('02_Dispatch'!$H$21:$H$44,INT((A33-1)/4)+1)</f>
        <v>0</v>
      </c>
      <c r="F33" s="47">
        <f>INDEX('02_Dispatch'!$I$21:$I$44,INT((A33-1)/4)+1)</f>
        <v>0</v>
      </c>
      <c r="G33" s="47">
        <f t="shared" si="2"/>
        <v>0</v>
      </c>
      <c r="H33" s="77">
        <f>100*(IF(INT((A33-1)/4)=0,0,INDEX('02_Dispatch'!$J$21:$J$44,INT((A33-1)/4)))+(INDEX('02_Dispatch'!$J$21:$J$44,INT((A33-1)/4)+1)-IF(INT((A33-1)/4)=0,0,INDEX('02_Dispatch'!$J$21:$J$44,INT((A33-1)/4))))*(MOD(A33-1,4)+1)/4)/'00_Inputs'!$B$14</f>
        <v>19.936356769557403</v>
      </c>
      <c r="I33" s="44" t="str">
        <f t="shared" si="3"/>
        <v>—</v>
      </c>
    </row>
    <row r="34" spans="1:9" x14ac:dyDescent="0.35">
      <c r="A34" s="55">
        <v>29</v>
      </c>
      <c r="B34" s="44" t="str">
        <f t="shared" si="0"/>
        <v>07:00</v>
      </c>
      <c r="C34" s="44" t="str">
        <f t="shared" si="1"/>
        <v>07:15</v>
      </c>
      <c r="D34" s="54">
        <f>INDEX('02_Dispatch'!$C$21:$C$44,INT((A34-1)/4)+1)</f>
        <v>5.4</v>
      </c>
      <c r="E34" s="47">
        <f>INDEX('02_Dispatch'!$H$21:$H$44,INT((A34-1)/4)+1)</f>
        <v>0</v>
      </c>
      <c r="F34" s="47">
        <f>INDEX('02_Dispatch'!$I$21:$I$44,INT((A34-1)/4)+1)</f>
        <v>0</v>
      </c>
      <c r="G34" s="47">
        <f t="shared" si="2"/>
        <v>0</v>
      </c>
      <c r="H34" s="77">
        <f>100*(IF(INT((A34-1)/4)=0,0,INDEX('02_Dispatch'!$J$21:$J$44,INT((A34-1)/4)))+(INDEX('02_Dispatch'!$J$21:$J$44,INT((A34-1)/4)+1)-IF(INT((A34-1)/4)=0,0,INDEX('02_Dispatch'!$J$21:$J$44,INT((A34-1)/4))))*(MOD(A34-1,4)+1)/4)/'00_Inputs'!$B$14</f>
        <v>19.936356769557403</v>
      </c>
      <c r="I34" s="44" t="str">
        <f t="shared" si="3"/>
        <v>—</v>
      </c>
    </row>
    <row r="35" spans="1:9" x14ac:dyDescent="0.35">
      <c r="A35" s="55">
        <v>30</v>
      </c>
      <c r="B35" s="44" t="str">
        <f t="shared" si="0"/>
        <v>07:15</v>
      </c>
      <c r="C35" s="44" t="str">
        <f t="shared" si="1"/>
        <v>07:30</v>
      </c>
      <c r="D35" s="54">
        <f>INDEX('02_Dispatch'!$C$21:$C$44,INT((A35-1)/4)+1)</f>
        <v>5.4</v>
      </c>
      <c r="E35" s="47">
        <f>INDEX('02_Dispatch'!$H$21:$H$44,INT((A35-1)/4)+1)</f>
        <v>0</v>
      </c>
      <c r="F35" s="47">
        <f>INDEX('02_Dispatch'!$I$21:$I$44,INT((A35-1)/4)+1)</f>
        <v>0</v>
      </c>
      <c r="G35" s="47">
        <f t="shared" si="2"/>
        <v>0</v>
      </c>
      <c r="H35" s="77">
        <f>100*(IF(INT((A35-1)/4)=0,0,INDEX('02_Dispatch'!$J$21:$J$44,INT((A35-1)/4)))+(INDEX('02_Dispatch'!$J$21:$J$44,INT((A35-1)/4)+1)-IF(INT((A35-1)/4)=0,0,INDEX('02_Dispatch'!$J$21:$J$44,INT((A35-1)/4))))*(MOD(A35-1,4)+1)/4)/'00_Inputs'!$B$14</f>
        <v>19.936356769557403</v>
      </c>
      <c r="I35" s="44" t="str">
        <f t="shared" si="3"/>
        <v>—</v>
      </c>
    </row>
    <row r="36" spans="1:9" x14ac:dyDescent="0.35">
      <c r="A36" s="55">
        <v>31</v>
      </c>
      <c r="B36" s="44" t="str">
        <f t="shared" si="0"/>
        <v>07:30</v>
      </c>
      <c r="C36" s="44" t="str">
        <f t="shared" si="1"/>
        <v>07:45</v>
      </c>
      <c r="D36" s="54">
        <f>INDEX('02_Dispatch'!$C$21:$C$44,INT((A36-1)/4)+1)</f>
        <v>5.4</v>
      </c>
      <c r="E36" s="47">
        <f>INDEX('02_Dispatch'!$H$21:$H$44,INT((A36-1)/4)+1)</f>
        <v>0</v>
      </c>
      <c r="F36" s="47">
        <f>INDEX('02_Dispatch'!$I$21:$I$44,INT((A36-1)/4)+1)</f>
        <v>0</v>
      </c>
      <c r="G36" s="47">
        <f t="shared" si="2"/>
        <v>0</v>
      </c>
      <c r="H36" s="77">
        <f>100*(IF(INT((A36-1)/4)=0,0,INDEX('02_Dispatch'!$J$21:$J$44,INT((A36-1)/4)))+(INDEX('02_Dispatch'!$J$21:$J$44,INT((A36-1)/4)+1)-IF(INT((A36-1)/4)=0,0,INDEX('02_Dispatch'!$J$21:$J$44,INT((A36-1)/4))))*(MOD(A36-1,4)+1)/4)/'00_Inputs'!$B$14</f>
        <v>19.936356769557403</v>
      </c>
      <c r="I36" s="44" t="str">
        <f t="shared" si="3"/>
        <v>—</v>
      </c>
    </row>
    <row r="37" spans="1:9" x14ac:dyDescent="0.35">
      <c r="A37" s="55">
        <v>32</v>
      </c>
      <c r="B37" s="44" t="str">
        <f t="shared" si="0"/>
        <v>07:45</v>
      </c>
      <c r="C37" s="44" t="str">
        <f t="shared" si="1"/>
        <v>08:00</v>
      </c>
      <c r="D37" s="54">
        <f>INDEX('02_Dispatch'!$C$21:$C$44,INT((A37-1)/4)+1)</f>
        <v>5.4</v>
      </c>
      <c r="E37" s="47">
        <f>INDEX('02_Dispatch'!$H$21:$H$44,INT((A37-1)/4)+1)</f>
        <v>0</v>
      </c>
      <c r="F37" s="47">
        <f>INDEX('02_Dispatch'!$I$21:$I$44,INT((A37-1)/4)+1)</f>
        <v>0</v>
      </c>
      <c r="G37" s="47">
        <f t="shared" si="2"/>
        <v>0</v>
      </c>
      <c r="H37" s="77">
        <f>100*(IF(INT((A37-1)/4)=0,0,INDEX('02_Dispatch'!$J$21:$J$44,INT((A37-1)/4)))+(INDEX('02_Dispatch'!$J$21:$J$44,INT((A37-1)/4)+1)-IF(INT((A37-1)/4)=0,0,INDEX('02_Dispatch'!$J$21:$J$44,INT((A37-1)/4))))*(MOD(A37-1,4)+1)/4)/'00_Inputs'!$B$14</f>
        <v>19.936356769557403</v>
      </c>
      <c r="I37" s="44" t="str">
        <f t="shared" si="3"/>
        <v>—</v>
      </c>
    </row>
    <row r="38" spans="1:9" x14ac:dyDescent="0.35">
      <c r="A38" s="55">
        <v>33</v>
      </c>
      <c r="B38" s="44" t="str">
        <f t="shared" ref="B38:B69" si="4">TEXT(TIME(INT((A38-1)*15/60),MOD((A38-1)*15,60),0),"hh:mm")</f>
        <v>08:00</v>
      </c>
      <c r="C38" s="44" t="str">
        <f t="shared" ref="C38:C69" si="5">IF(A38=96,"24:00",TEXT(TIME(INT(A38*15/60),MOD(A38*15,60),0),"hh:mm"))</f>
        <v>08:15</v>
      </c>
      <c r="D38" s="54">
        <f>INDEX('02_Dispatch'!$C$21:$C$44,INT((A38-1)/4)+1)</f>
        <v>5.2</v>
      </c>
      <c r="E38" s="47">
        <f>INDEX('02_Dispatch'!$H$21:$H$44,INT((A38-1)/4)+1)</f>
        <v>0</v>
      </c>
      <c r="F38" s="47">
        <f>INDEX('02_Dispatch'!$I$21:$I$44,INT((A38-1)/4)+1)</f>
        <v>0</v>
      </c>
      <c r="G38" s="47">
        <f t="shared" ref="G38:G69" si="6">E38-F38</f>
        <v>0</v>
      </c>
      <c r="H38" s="77">
        <f>100*(IF(INT((A38-1)/4)=0,0,INDEX('02_Dispatch'!$J$21:$J$44,INT((A38-1)/4)))+(INDEX('02_Dispatch'!$J$21:$J$44,INT((A38-1)/4)+1)-IF(INT((A38-1)/4)=0,0,INDEX('02_Dispatch'!$J$21:$J$44,INT((A38-1)/4))))*(MOD(A38-1,4)+1)/4)/'00_Inputs'!$B$14</f>
        <v>19.936356769557403</v>
      </c>
      <c r="I38" s="44" t="str">
        <f t="shared" ref="I38:I69" si="7">IF(E38&gt;0,"CHARGE",IF(F38&gt;0,"DISCHARGE","—"))</f>
        <v>—</v>
      </c>
    </row>
    <row r="39" spans="1:9" x14ac:dyDescent="0.35">
      <c r="A39" s="55">
        <v>34</v>
      </c>
      <c r="B39" s="44" t="str">
        <f t="shared" si="4"/>
        <v>08:15</v>
      </c>
      <c r="C39" s="44" t="str">
        <f t="shared" si="5"/>
        <v>08:30</v>
      </c>
      <c r="D39" s="54">
        <f>INDEX('02_Dispatch'!$C$21:$C$44,INT((A39-1)/4)+1)</f>
        <v>5.2</v>
      </c>
      <c r="E39" s="47">
        <f>INDEX('02_Dispatch'!$H$21:$H$44,INT((A39-1)/4)+1)</f>
        <v>0</v>
      </c>
      <c r="F39" s="47">
        <f>INDEX('02_Dispatch'!$I$21:$I$44,INT((A39-1)/4)+1)</f>
        <v>0</v>
      </c>
      <c r="G39" s="47">
        <f t="shared" si="6"/>
        <v>0</v>
      </c>
      <c r="H39" s="77">
        <f>100*(IF(INT((A39-1)/4)=0,0,INDEX('02_Dispatch'!$J$21:$J$44,INT((A39-1)/4)))+(INDEX('02_Dispatch'!$J$21:$J$44,INT((A39-1)/4)+1)-IF(INT((A39-1)/4)=0,0,INDEX('02_Dispatch'!$J$21:$J$44,INT((A39-1)/4))))*(MOD(A39-1,4)+1)/4)/'00_Inputs'!$B$14</f>
        <v>19.936356769557403</v>
      </c>
      <c r="I39" s="44" t="str">
        <f t="shared" si="7"/>
        <v>—</v>
      </c>
    </row>
    <row r="40" spans="1:9" x14ac:dyDescent="0.35">
      <c r="A40" s="55">
        <v>35</v>
      </c>
      <c r="B40" s="44" t="str">
        <f t="shared" si="4"/>
        <v>08:30</v>
      </c>
      <c r="C40" s="44" t="str">
        <f t="shared" si="5"/>
        <v>08:45</v>
      </c>
      <c r="D40" s="54">
        <f>INDEX('02_Dispatch'!$C$21:$C$44,INT((A40-1)/4)+1)</f>
        <v>5.2</v>
      </c>
      <c r="E40" s="47">
        <f>INDEX('02_Dispatch'!$H$21:$H$44,INT((A40-1)/4)+1)</f>
        <v>0</v>
      </c>
      <c r="F40" s="47">
        <f>INDEX('02_Dispatch'!$I$21:$I$44,INT((A40-1)/4)+1)</f>
        <v>0</v>
      </c>
      <c r="G40" s="47">
        <f t="shared" si="6"/>
        <v>0</v>
      </c>
      <c r="H40" s="77">
        <f>100*(IF(INT((A40-1)/4)=0,0,INDEX('02_Dispatch'!$J$21:$J$44,INT((A40-1)/4)))+(INDEX('02_Dispatch'!$J$21:$J$44,INT((A40-1)/4)+1)-IF(INT((A40-1)/4)=0,0,INDEX('02_Dispatch'!$J$21:$J$44,INT((A40-1)/4))))*(MOD(A40-1,4)+1)/4)/'00_Inputs'!$B$14</f>
        <v>19.936356769557403</v>
      </c>
      <c r="I40" s="44" t="str">
        <f t="shared" si="7"/>
        <v>—</v>
      </c>
    </row>
    <row r="41" spans="1:9" x14ac:dyDescent="0.35">
      <c r="A41" s="55">
        <v>36</v>
      </c>
      <c r="B41" s="44" t="str">
        <f t="shared" si="4"/>
        <v>08:45</v>
      </c>
      <c r="C41" s="44" t="str">
        <f t="shared" si="5"/>
        <v>09:00</v>
      </c>
      <c r="D41" s="54">
        <f>INDEX('02_Dispatch'!$C$21:$C$44,INT((A41-1)/4)+1)</f>
        <v>5.2</v>
      </c>
      <c r="E41" s="47">
        <f>INDEX('02_Dispatch'!$H$21:$H$44,INT((A41-1)/4)+1)</f>
        <v>0</v>
      </c>
      <c r="F41" s="47">
        <f>INDEX('02_Dispatch'!$I$21:$I$44,INT((A41-1)/4)+1)</f>
        <v>0</v>
      </c>
      <c r="G41" s="47">
        <f t="shared" si="6"/>
        <v>0</v>
      </c>
      <c r="H41" s="77">
        <f>100*(IF(INT((A41-1)/4)=0,0,INDEX('02_Dispatch'!$J$21:$J$44,INT((A41-1)/4)))+(INDEX('02_Dispatch'!$J$21:$J$44,INT((A41-1)/4)+1)-IF(INT((A41-1)/4)=0,0,INDEX('02_Dispatch'!$J$21:$J$44,INT((A41-1)/4))))*(MOD(A41-1,4)+1)/4)/'00_Inputs'!$B$14</f>
        <v>19.936356769557403</v>
      </c>
      <c r="I41" s="44" t="str">
        <f t="shared" si="7"/>
        <v>—</v>
      </c>
    </row>
    <row r="42" spans="1:9" x14ac:dyDescent="0.35">
      <c r="A42" s="55">
        <v>37</v>
      </c>
      <c r="B42" s="44" t="str">
        <f t="shared" si="4"/>
        <v>09:00</v>
      </c>
      <c r="C42" s="44" t="str">
        <f t="shared" si="5"/>
        <v>09:15</v>
      </c>
      <c r="D42" s="54">
        <f>INDEX('02_Dispatch'!$C$21:$C$44,INT((A42-1)/4)+1)</f>
        <v>4</v>
      </c>
      <c r="E42" s="47">
        <f>INDEX('02_Dispatch'!$H$21:$H$44,INT((A42-1)/4)+1)</f>
        <v>0</v>
      </c>
      <c r="F42" s="47">
        <f>INDEX('02_Dispatch'!$I$21:$I$44,INT((A42-1)/4)+1)</f>
        <v>0</v>
      </c>
      <c r="G42" s="47">
        <f t="shared" si="6"/>
        <v>0</v>
      </c>
      <c r="H42" s="77">
        <f>100*(IF(INT((A42-1)/4)=0,0,INDEX('02_Dispatch'!$J$21:$J$44,INT((A42-1)/4)))+(INDEX('02_Dispatch'!$J$21:$J$44,INT((A42-1)/4)+1)-IF(INT((A42-1)/4)=0,0,INDEX('02_Dispatch'!$J$21:$J$44,INT((A42-1)/4))))*(MOD(A42-1,4)+1)/4)/'00_Inputs'!$B$14</f>
        <v>19.936356769557403</v>
      </c>
      <c r="I42" s="44" t="str">
        <f t="shared" si="7"/>
        <v>—</v>
      </c>
    </row>
    <row r="43" spans="1:9" x14ac:dyDescent="0.35">
      <c r="A43" s="55">
        <v>38</v>
      </c>
      <c r="B43" s="44" t="str">
        <f t="shared" si="4"/>
        <v>09:15</v>
      </c>
      <c r="C43" s="44" t="str">
        <f t="shared" si="5"/>
        <v>09:30</v>
      </c>
      <c r="D43" s="54">
        <f>INDEX('02_Dispatch'!$C$21:$C$44,INT((A43-1)/4)+1)</f>
        <v>4</v>
      </c>
      <c r="E43" s="47">
        <f>INDEX('02_Dispatch'!$H$21:$H$44,INT((A43-1)/4)+1)</f>
        <v>0</v>
      </c>
      <c r="F43" s="47">
        <f>INDEX('02_Dispatch'!$I$21:$I$44,INT((A43-1)/4)+1)</f>
        <v>0</v>
      </c>
      <c r="G43" s="47">
        <f t="shared" si="6"/>
        <v>0</v>
      </c>
      <c r="H43" s="77">
        <f>100*(IF(INT((A43-1)/4)=0,0,INDEX('02_Dispatch'!$J$21:$J$44,INT((A43-1)/4)))+(INDEX('02_Dispatch'!$J$21:$J$44,INT((A43-1)/4)+1)-IF(INT((A43-1)/4)=0,0,INDEX('02_Dispatch'!$J$21:$J$44,INT((A43-1)/4))))*(MOD(A43-1,4)+1)/4)/'00_Inputs'!$B$14</f>
        <v>19.936356769557403</v>
      </c>
      <c r="I43" s="44" t="str">
        <f t="shared" si="7"/>
        <v>—</v>
      </c>
    </row>
    <row r="44" spans="1:9" x14ac:dyDescent="0.35">
      <c r="A44" s="55">
        <v>39</v>
      </c>
      <c r="B44" s="44" t="str">
        <f t="shared" si="4"/>
        <v>09:30</v>
      </c>
      <c r="C44" s="44" t="str">
        <f t="shared" si="5"/>
        <v>09:45</v>
      </c>
      <c r="D44" s="54">
        <f>INDEX('02_Dispatch'!$C$21:$C$44,INT((A44-1)/4)+1)</f>
        <v>4</v>
      </c>
      <c r="E44" s="47">
        <f>INDEX('02_Dispatch'!$H$21:$H$44,INT((A44-1)/4)+1)</f>
        <v>0</v>
      </c>
      <c r="F44" s="47">
        <f>INDEX('02_Dispatch'!$I$21:$I$44,INT((A44-1)/4)+1)</f>
        <v>0</v>
      </c>
      <c r="G44" s="47">
        <f t="shared" si="6"/>
        <v>0</v>
      </c>
      <c r="H44" s="77">
        <f>100*(IF(INT((A44-1)/4)=0,0,INDEX('02_Dispatch'!$J$21:$J$44,INT((A44-1)/4)))+(INDEX('02_Dispatch'!$J$21:$J$44,INT((A44-1)/4)+1)-IF(INT((A44-1)/4)=0,0,INDEX('02_Dispatch'!$J$21:$J$44,INT((A44-1)/4))))*(MOD(A44-1,4)+1)/4)/'00_Inputs'!$B$14</f>
        <v>19.936356769557403</v>
      </c>
      <c r="I44" s="44" t="str">
        <f t="shared" si="7"/>
        <v>—</v>
      </c>
    </row>
    <row r="45" spans="1:9" x14ac:dyDescent="0.35">
      <c r="A45" s="55">
        <v>40</v>
      </c>
      <c r="B45" s="44" t="str">
        <f t="shared" si="4"/>
        <v>09:45</v>
      </c>
      <c r="C45" s="44" t="str">
        <f t="shared" si="5"/>
        <v>10:00</v>
      </c>
      <c r="D45" s="54">
        <f>INDEX('02_Dispatch'!$C$21:$C$44,INT((A45-1)/4)+1)</f>
        <v>4</v>
      </c>
      <c r="E45" s="47">
        <f>INDEX('02_Dispatch'!$H$21:$H$44,INT((A45-1)/4)+1)</f>
        <v>0</v>
      </c>
      <c r="F45" s="47">
        <f>INDEX('02_Dispatch'!$I$21:$I$44,INT((A45-1)/4)+1)</f>
        <v>0</v>
      </c>
      <c r="G45" s="47">
        <f t="shared" si="6"/>
        <v>0</v>
      </c>
      <c r="H45" s="77">
        <f>100*(IF(INT((A45-1)/4)=0,0,INDEX('02_Dispatch'!$J$21:$J$44,INT((A45-1)/4)))+(INDEX('02_Dispatch'!$J$21:$J$44,INT((A45-1)/4)+1)-IF(INT((A45-1)/4)=0,0,INDEX('02_Dispatch'!$J$21:$J$44,INT((A45-1)/4))))*(MOD(A45-1,4)+1)/4)/'00_Inputs'!$B$14</f>
        <v>19.936356769557403</v>
      </c>
      <c r="I45" s="44" t="str">
        <f t="shared" si="7"/>
        <v>—</v>
      </c>
    </row>
    <row r="46" spans="1:9" x14ac:dyDescent="0.35">
      <c r="A46" s="55">
        <v>41</v>
      </c>
      <c r="B46" s="44" t="str">
        <f t="shared" si="4"/>
        <v>10:00</v>
      </c>
      <c r="C46" s="44" t="str">
        <f t="shared" si="5"/>
        <v>10:15</v>
      </c>
      <c r="D46" s="54">
        <f>INDEX('02_Dispatch'!$C$21:$C$44,INT((A46-1)/4)+1)</f>
        <v>3</v>
      </c>
      <c r="E46" s="47">
        <f>INDEX('02_Dispatch'!$H$21:$H$44,INT((A46-1)/4)+1)</f>
        <v>7.5</v>
      </c>
      <c r="F46" s="47">
        <f>INDEX('02_Dispatch'!$I$21:$I$44,INT((A46-1)/4)+1)</f>
        <v>0</v>
      </c>
      <c r="G46" s="47">
        <f t="shared" si="6"/>
        <v>7.5</v>
      </c>
      <c r="H46" s="77">
        <f>100*(IF(INT((A46-1)/4)=0,0,INDEX('02_Dispatch'!$J$21:$J$44,INT((A46-1)/4)))+(INDEX('02_Dispatch'!$J$21:$J$44,INT((A46-1)/4)+1)-IF(INT((A46-1)/4)=0,0,INDEX('02_Dispatch'!$J$21:$J$44,INT((A46-1)/4))))*(MOD(A46-1,4)+1)/4)/'00_Inputs'!$B$14</f>
        <v>22.428401365752077</v>
      </c>
      <c r="I46" s="44" t="str">
        <f t="shared" si="7"/>
        <v>CHARGE</v>
      </c>
    </row>
    <row r="47" spans="1:9" x14ac:dyDescent="0.35">
      <c r="A47" s="55">
        <v>42</v>
      </c>
      <c r="B47" s="44" t="str">
        <f t="shared" si="4"/>
        <v>10:15</v>
      </c>
      <c r="C47" s="44" t="str">
        <f t="shared" si="5"/>
        <v>10:30</v>
      </c>
      <c r="D47" s="54">
        <f>INDEX('02_Dispatch'!$C$21:$C$44,INT((A47-1)/4)+1)</f>
        <v>3</v>
      </c>
      <c r="E47" s="47">
        <f>INDEX('02_Dispatch'!$H$21:$H$44,INT((A47-1)/4)+1)</f>
        <v>7.5</v>
      </c>
      <c r="F47" s="47">
        <f>INDEX('02_Dispatch'!$I$21:$I$44,INT((A47-1)/4)+1)</f>
        <v>0</v>
      </c>
      <c r="G47" s="47">
        <f t="shared" si="6"/>
        <v>7.5</v>
      </c>
      <c r="H47" s="77">
        <f>100*(IF(INT((A47-1)/4)=0,0,INDEX('02_Dispatch'!$J$21:$J$44,INT((A47-1)/4)))+(INDEX('02_Dispatch'!$J$21:$J$44,INT((A47-1)/4)+1)-IF(INT((A47-1)/4)=0,0,INDEX('02_Dispatch'!$J$21:$J$44,INT((A47-1)/4))))*(MOD(A47-1,4)+1)/4)/'00_Inputs'!$B$14</f>
        <v>24.920445961946754</v>
      </c>
      <c r="I47" s="44" t="str">
        <f t="shared" si="7"/>
        <v>CHARGE</v>
      </c>
    </row>
    <row r="48" spans="1:9" x14ac:dyDescent="0.35">
      <c r="A48" s="55">
        <v>43</v>
      </c>
      <c r="B48" s="44" t="str">
        <f t="shared" si="4"/>
        <v>10:30</v>
      </c>
      <c r="C48" s="44" t="str">
        <f t="shared" si="5"/>
        <v>10:45</v>
      </c>
      <c r="D48" s="54">
        <f>INDEX('02_Dispatch'!$C$21:$C$44,INT((A48-1)/4)+1)</f>
        <v>3</v>
      </c>
      <c r="E48" s="47">
        <f>INDEX('02_Dispatch'!$H$21:$H$44,INT((A48-1)/4)+1)</f>
        <v>7.5</v>
      </c>
      <c r="F48" s="47">
        <f>INDEX('02_Dispatch'!$I$21:$I$44,INT((A48-1)/4)+1)</f>
        <v>0</v>
      </c>
      <c r="G48" s="47">
        <f t="shared" si="6"/>
        <v>7.5</v>
      </c>
      <c r="H48" s="77">
        <f>100*(IF(INT((A48-1)/4)=0,0,INDEX('02_Dispatch'!$J$21:$J$44,INT((A48-1)/4)))+(INDEX('02_Dispatch'!$J$21:$J$44,INT((A48-1)/4)+1)-IF(INT((A48-1)/4)=0,0,INDEX('02_Dispatch'!$J$21:$J$44,INT((A48-1)/4))))*(MOD(A48-1,4)+1)/4)/'00_Inputs'!$B$14</f>
        <v>27.412490558141428</v>
      </c>
      <c r="I48" s="44" t="str">
        <f t="shared" si="7"/>
        <v>CHARGE</v>
      </c>
    </row>
    <row r="49" spans="1:9" x14ac:dyDescent="0.35">
      <c r="A49" s="55">
        <v>44</v>
      </c>
      <c r="B49" s="44" t="str">
        <f t="shared" si="4"/>
        <v>10:45</v>
      </c>
      <c r="C49" s="44" t="str">
        <f t="shared" si="5"/>
        <v>11:00</v>
      </c>
      <c r="D49" s="54">
        <f>INDEX('02_Dispatch'!$C$21:$C$44,INT((A49-1)/4)+1)</f>
        <v>3</v>
      </c>
      <c r="E49" s="47">
        <f>INDEX('02_Dispatch'!$H$21:$H$44,INT((A49-1)/4)+1)</f>
        <v>7.5</v>
      </c>
      <c r="F49" s="47">
        <f>INDEX('02_Dispatch'!$I$21:$I$44,INT((A49-1)/4)+1)</f>
        <v>0</v>
      </c>
      <c r="G49" s="47">
        <f t="shared" si="6"/>
        <v>7.5</v>
      </c>
      <c r="H49" s="77">
        <f>100*(IF(INT((A49-1)/4)=0,0,INDEX('02_Dispatch'!$J$21:$J$44,INT((A49-1)/4)))+(INDEX('02_Dispatch'!$J$21:$J$44,INT((A49-1)/4)+1)-IF(INT((A49-1)/4)=0,0,INDEX('02_Dispatch'!$J$21:$J$44,INT((A49-1)/4))))*(MOD(A49-1,4)+1)/4)/'00_Inputs'!$B$14</f>
        <v>29.904535154336106</v>
      </c>
      <c r="I49" s="44" t="str">
        <f t="shared" si="7"/>
        <v>CHARGE</v>
      </c>
    </row>
    <row r="50" spans="1:9" x14ac:dyDescent="0.35">
      <c r="A50" s="55">
        <v>45</v>
      </c>
      <c r="B50" s="44" t="str">
        <f t="shared" si="4"/>
        <v>11:00</v>
      </c>
      <c r="C50" s="44" t="str">
        <f t="shared" si="5"/>
        <v>11:15</v>
      </c>
      <c r="D50" s="54">
        <f>INDEX('02_Dispatch'!$C$21:$C$44,INT((A50-1)/4)+1)</f>
        <v>2.6</v>
      </c>
      <c r="E50" s="47">
        <f>INDEX('02_Dispatch'!$H$21:$H$44,INT((A50-1)/4)+1)</f>
        <v>7.5</v>
      </c>
      <c r="F50" s="47">
        <f>INDEX('02_Dispatch'!$I$21:$I$44,INT((A50-1)/4)+1)</f>
        <v>0</v>
      </c>
      <c r="G50" s="47">
        <f t="shared" si="6"/>
        <v>7.5</v>
      </c>
      <c r="H50" s="77">
        <f>100*(IF(INT((A50-1)/4)=0,0,INDEX('02_Dispatch'!$J$21:$J$44,INT((A50-1)/4)))+(INDEX('02_Dispatch'!$J$21:$J$44,INT((A50-1)/4)+1)-IF(INT((A50-1)/4)=0,0,INDEX('02_Dispatch'!$J$21:$J$44,INT((A50-1)/4))))*(MOD(A50-1,4)+1)/4)/'00_Inputs'!$B$14</f>
        <v>32.396579750530776</v>
      </c>
      <c r="I50" s="44" t="str">
        <f t="shared" si="7"/>
        <v>CHARGE</v>
      </c>
    </row>
    <row r="51" spans="1:9" x14ac:dyDescent="0.35">
      <c r="A51" s="55">
        <v>46</v>
      </c>
      <c r="B51" s="44" t="str">
        <f t="shared" si="4"/>
        <v>11:15</v>
      </c>
      <c r="C51" s="44" t="str">
        <f t="shared" si="5"/>
        <v>11:30</v>
      </c>
      <c r="D51" s="54">
        <f>INDEX('02_Dispatch'!$C$21:$C$44,INT((A51-1)/4)+1)</f>
        <v>2.6</v>
      </c>
      <c r="E51" s="47">
        <f>INDEX('02_Dispatch'!$H$21:$H$44,INT((A51-1)/4)+1)</f>
        <v>7.5</v>
      </c>
      <c r="F51" s="47">
        <f>INDEX('02_Dispatch'!$I$21:$I$44,INT((A51-1)/4)+1)</f>
        <v>0</v>
      </c>
      <c r="G51" s="47">
        <f t="shared" si="6"/>
        <v>7.5</v>
      </c>
      <c r="H51" s="77">
        <f>100*(IF(INT((A51-1)/4)=0,0,INDEX('02_Dispatch'!$J$21:$J$44,INT((A51-1)/4)))+(INDEX('02_Dispatch'!$J$21:$J$44,INT((A51-1)/4)+1)-IF(INT((A51-1)/4)=0,0,INDEX('02_Dispatch'!$J$21:$J$44,INT((A51-1)/4))))*(MOD(A51-1,4)+1)/4)/'00_Inputs'!$B$14</f>
        <v>34.888624346725457</v>
      </c>
      <c r="I51" s="44" t="str">
        <f t="shared" si="7"/>
        <v>CHARGE</v>
      </c>
    </row>
    <row r="52" spans="1:9" x14ac:dyDescent="0.35">
      <c r="A52" s="55">
        <v>47</v>
      </c>
      <c r="B52" s="44" t="str">
        <f t="shared" si="4"/>
        <v>11:30</v>
      </c>
      <c r="C52" s="44" t="str">
        <f t="shared" si="5"/>
        <v>11:45</v>
      </c>
      <c r="D52" s="54">
        <f>INDEX('02_Dispatch'!$C$21:$C$44,INT((A52-1)/4)+1)</f>
        <v>2.6</v>
      </c>
      <c r="E52" s="47">
        <f>INDEX('02_Dispatch'!$H$21:$H$44,INT((A52-1)/4)+1)</f>
        <v>7.5</v>
      </c>
      <c r="F52" s="47">
        <f>INDEX('02_Dispatch'!$I$21:$I$44,INT((A52-1)/4)+1)</f>
        <v>0</v>
      </c>
      <c r="G52" s="47">
        <f t="shared" si="6"/>
        <v>7.5</v>
      </c>
      <c r="H52" s="77">
        <f>100*(IF(INT((A52-1)/4)=0,0,INDEX('02_Dispatch'!$J$21:$J$44,INT((A52-1)/4)))+(INDEX('02_Dispatch'!$J$21:$J$44,INT((A52-1)/4)+1)-IF(INT((A52-1)/4)=0,0,INDEX('02_Dispatch'!$J$21:$J$44,INT((A52-1)/4))))*(MOD(A52-1,4)+1)/4)/'00_Inputs'!$B$14</f>
        <v>37.380668942920131</v>
      </c>
      <c r="I52" s="44" t="str">
        <f t="shared" si="7"/>
        <v>CHARGE</v>
      </c>
    </row>
    <row r="53" spans="1:9" x14ac:dyDescent="0.35">
      <c r="A53" s="55">
        <v>48</v>
      </c>
      <c r="B53" s="44" t="str">
        <f t="shared" si="4"/>
        <v>11:45</v>
      </c>
      <c r="C53" s="44" t="str">
        <f t="shared" si="5"/>
        <v>12:00</v>
      </c>
      <c r="D53" s="54">
        <f>INDEX('02_Dispatch'!$C$21:$C$44,INT((A53-1)/4)+1)</f>
        <v>2.6</v>
      </c>
      <c r="E53" s="47">
        <f>INDEX('02_Dispatch'!$H$21:$H$44,INT((A53-1)/4)+1)</f>
        <v>7.5</v>
      </c>
      <c r="F53" s="47">
        <f>INDEX('02_Dispatch'!$I$21:$I$44,INT((A53-1)/4)+1)</f>
        <v>0</v>
      </c>
      <c r="G53" s="47">
        <f t="shared" si="6"/>
        <v>7.5</v>
      </c>
      <c r="H53" s="77">
        <f>100*(IF(INT((A53-1)/4)=0,0,INDEX('02_Dispatch'!$J$21:$J$44,INT((A53-1)/4)))+(INDEX('02_Dispatch'!$J$21:$J$44,INT((A53-1)/4)+1)-IF(INT((A53-1)/4)=0,0,INDEX('02_Dispatch'!$J$21:$J$44,INT((A53-1)/4))))*(MOD(A53-1,4)+1)/4)/'00_Inputs'!$B$14</f>
        <v>39.872713539114805</v>
      </c>
      <c r="I53" s="44" t="str">
        <f t="shared" si="7"/>
        <v>CHARGE</v>
      </c>
    </row>
    <row r="54" spans="1:9" x14ac:dyDescent="0.35">
      <c r="A54" s="55">
        <v>49</v>
      </c>
      <c r="B54" s="44" t="str">
        <f t="shared" si="4"/>
        <v>12:00</v>
      </c>
      <c r="C54" s="44" t="str">
        <f t="shared" si="5"/>
        <v>12:15</v>
      </c>
      <c r="D54" s="54">
        <f>INDEX('02_Dispatch'!$C$21:$C$44,INT((A54-1)/4)+1)</f>
        <v>2.4</v>
      </c>
      <c r="E54" s="47">
        <f>INDEX('02_Dispatch'!$H$21:$H$44,INT((A54-1)/4)+1)</f>
        <v>7.5</v>
      </c>
      <c r="F54" s="47">
        <f>INDEX('02_Dispatch'!$I$21:$I$44,INT((A54-1)/4)+1)</f>
        <v>0</v>
      </c>
      <c r="G54" s="47">
        <f t="shared" si="6"/>
        <v>7.5</v>
      </c>
      <c r="H54" s="77">
        <f>100*(IF(INT((A54-1)/4)=0,0,INDEX('02_Dispatch'!$J$21:$J$44,INT((A54-1)/4)))+(INDEX('02_Dispatch'!$J$21:$J$44,INT((A54-1)/4)+1)-IF(INT((A54-1)/4)=0,0,INDEX('02_Dispatch'!$J$21:$J$44,INT((A54-1)/4))))*(MOD(A54-1,4)+1)/4)/'00_Inputs'!$B$14</f>
        <v>42.364758135309479</v>
      </c>
      <c r="I54" s="44" t="str">
        <f t="shared" si="7"/>
        <v>CHARGE</v>
      </c>
    </row>
    <row r="55" spans="1:9" x14ac:dyDescent="0.35">
      <c r="A55" s="55">
        <v>50</v>
      </c>
      <c r="B55" s="44" t="str">
        <f t="shared" si="4"/>
        <v>12:15</v>
      </c>
      <c r="C55" s="44" t="str">
        <f t="shared" si="5"/>
        <v>12:30</v>
      </c>
      <c r="D55" s="54">
        <f>INDEX('02_Dispatch'!$C$21:$C$44,INT((A55-1)/4)+1)</f>
        <v>2.4</v>
      </c>
      <c r="E55" s="47">
        <f>INDEX('02_Dispatch'!$H$21:$H$44,INT((A55-1)/4)+1)</f>
        <v>7.5</v>
      </c>
      <c r="F55" s="47">
        <f>INDEX('02_Dispatch'!$I$21:$I$44,INT((A55-1)/4)+1)</f>
        <v>0</v>
      </c>
      <c r="G55" s="47">
        <f t="shared" si="6"/>
        <v>7.5</v>
      </c>
      <c r="H55" s="77">
        <f>100*(IF(INT((A55-1)/4)=0,0,INDEX('02_Dispatch'!$J$21:$J$44,INT((A55-1)/4)))+(INDEX('02_Dispatch'!$J$21:$J$44,INT((A55-1)/4)+1)-IF(INT((A55-1)/4)=0,0,INDEX('02_Dispatch'!$J$21:$J$44,INT((A55-1)/4))))*(MOD(A55-1,4)+1)/4)/'00_Inputs'!$B$14</f>
        <v>44.856802731504153</v>
      </c>
      <c r="I55" s="44" t="str">
        <f t="shared" si="7"/>
        <v>CHARGE</v>
      </c>
    </row>
    <row r="56" spans="1:9" x14ac:dyDescent="0.35">
      <c r="A56" s="55">
        <v>51</v>
      </c>
      <c r="B56" s="44" t="str">
        <f t="shared" si="4"/>
        <v>12:30</v>
      </c>
      <c r="C56" s="44" t="str">
        <f t="shared" si="5"/>
        <v>12:45</v>
      </c>
      <c r="D56" s="54">
        <f>INDEX('02_Dispatch'!$C$21:$C$44,INT((A56-1)/4)+1)</f>
        <v>2.4</v>
      </c>
      <c r="E56" s="47">
        <f>INDEX('02_Dispatch'!$H$21:$H$44,INT((A56-1)/4)+1)</f>
        <v>7.5</v>
      </c>
      <c r="F56" s="47">
        <f>INDEX('02_Dispatch'!$I$21:$I$44,INT((A56-1)/4)+1)</f>
        <v>0</v>
      </c>
      <c r="G56" s="47">
        <f t="shared" si="6"/>
        <v>7.5</v>
      </c>
      <c r="H56" s="77">
        <f>100*(IF(INT((A56-1)/4)=0,0,INDEX('02_Dispatch'!$J$21:$J$44,INT((A56-1)/4)))+(INDEX('02_Dispatch'!$J$21:$J$44,INT((A56-1)/4)+1)-IF(INT((A56-1)/4)=0,0,INDEX('02_Dispatch'!$J$21:$J$44,INT((A56-1)/4))))*(MOD(A56-1,4)+1)/4)/'00_Inputs'!$B$14</f>
        <v>47.348847327698834</v>
      </c>
      <c r="I56" s="44" t="str">
        <f t="shared" si="7"/>
        <v>CHARGE</v>
      </c>
    </row>
    <row r="57" spans="1:9" x14ac:dyDescent="0.35">
      <c r="A57" s="55">
        <v>52</v>
      </c>
      <c r="B57" s="44" t="str">
        <f t="shared" si="4"/>
        <v>12:45</v>
      </c>
      <c r="C57" s="44" t="str">
        <f t="shared" si="5"/>
        <v>13:00</v>
      </c>
      <c r="D57" s="54">
        <f>INDEX('02_Dispatch'!$C$21:$C$44,INT((A57-1)/4)+1)</f>
        <v>2.4</v>
      </c>
      <c r="E57" s="47">
        <f>INDEX('02_Dispatch'!$H$21:$H$44,INT((A57-1)/4)+1)</f>
        <v>7.5</v>
      </c>
      <c r="F57" s="47">
        <f>INDEX('02_Dispatch'!$I$21:$I$44,INT((A57-1)/4)+1)</f>
        <v>0</v>
      </c>
      <c r="G57" s="47">
        <f t="shared" si="6"/>
        <v>7.5</v>
      </c>
      <c r="H57" s="77">
        <f>100*(IF(INT((A57-1)/4)=0,0,INDEX('02_Dispatch'!$J$21:$J$44,INT((A57-1)/4)))+(INDEX('02_Dispatch'!$J$21:$J$44,INT((A57-1)/4)+1)-IF(INT((A57-1)/4)=0,0,INDEX('02_Dispatch'!$J$21:$J$44,INT((A57-1)/4))))*(MOD(A57-1,4)+1)/4)/'00_Inputs'!$B$14</f>
        <v>49.840891923893508</v>
      </c>
      <c r="I57" s="44" t="str">
        <f t="shared" si="7"/>
        <v>CHARGE</v>
      </c>
    </row>
    <row r="58" spans="1:9" x14ac:dyDescent="0.35">
      <c r="A58" s="55">
        <v>53</v>
      </c>
      <c r="B58" s="44" t="str">
        <f t="shared" si="4"/>
        <v>13:00</v>
      </c>
      <c r="C58" s="44" t="str">
        <f t="shared" si="5"/>
        <v>13:15</v>
      </c>
      <c r="D58" s="54">
        <f>INDEX('02_Dispatch'!$C$21:$C$44,INT((A58-1)/4)+1)</f>
        <v>2.4</v>
      </c>
      <c r="E58" s="47">
        <f>INDEX('02_Dispatch'!$H$21:$H$44,INT((A58-1)/4)+1)</f>
        <v>7.5</v>
      </c>
      <c r="F58" s="47">
        <f>INDEX('02_Dispatch'!$I$21:$I$44,INT((A58-1)/4)+1)</f>
        <v>0</v>
      </c>
      <c r="G58" s="47">
        <f t="shared" si="6"/>
        <v>7.5</v>
      </c>
      <c r="H58" s="77">
        <f>100*(IF(INT((A58-1)/4)=0,0,INDEX('02_Dispatch'!$J$21:$J$44,INT((A58-1)/4)))+(INDEX('02_Dispatch'!$J$21:$J$44,INT((A58-1)/4)+1)-IF(INT((A58-1)/4)=0,0,INDEX('02_Dispatch'!$J$21:$J$44,INT((A58-1)/4))))*(MOD(A58-1,4)+1)/4)/'00_Inputs'!$B$14</f>
        <v>52.332936520088182</v>
      </c>
      <c r="I58" s="44" t="str">
        <f t="shared" si="7"/>
        <v>CHARGE</v>
      </c>
    </row>
    <row r="59" spans="1:9" x14ac:dyDescent="0.35">
      <c r="A59" s="55">
        <v>54</v>
      </c>
      <c r="B59" s="44" t="str">
        <f t="shared" si="4"/>
        <v>13:15</v>
      </c>
      <c r="C59" s="44" t="str">
        <f t="shared" si="5"/>
        <v>13:30</v>
      </c>
      <c r="D59" s="54">
        <f>INDEX('02_Dispatch'!$C$21:$C$44,INT((A59-1)/4)+1)</f>
        <v>2.4</v>
      </c>
      <c r="E59" s="47">
        <f>INDEX('02_Dispatch'!$H$21:$H$44,INT((A59-1)/4)+1)</f>
        <v>7.5</v>
      </c>
      <c r="F59" s="47">
        <f>INDEX('02_Dispatch'!$I$21:$I$44,INT((A59-1)/4)+1)</f>
        <v>0</v>
      </c>
      <c r="G59" s="47">
        <f t="shared" si="6"/>
        <v>7.5</v>
      </c>
      <c r="H59" s="77">
        <f>100*(IF(INT((A59-1)/4)=0,0,INDEX('02_Dispatch'!$J$21:$J$44,INT((A59-1)/4)))+(INDEX('02_Dispatch'!$J$21:$J$44,INT((A59-1)/4)+1)-IF(INT((A59-1)/4)=0,0,INDEX('02_Dispatch'!$J$21:$J$44,INT((A59-1)/4))))*(MOD(A59-1,4)+1)/4)/'00_Inputs'!$B$14</f>
        <v>54.824981116282856</v>
      </c>
      <c r="I59" s="44" t="str">
        <f t="shared" si="7"/>
        <v>CHARGE</v>
      </c>
    </row>
    <row r="60" spans="1:9" x14ac:dyDescent="0.35">
      <c r="A60" s="55">
        <v>55</v>
      </c>
      <c r="B60" s="44" t="str">
        <f t="shared" si="4"/>
        <v>13:30</v>
      </c>
      <c r="C60" s="44" t="str">
        <f t="shared" si="5"/>
        <v>13:45</v>
      </c>
      <c r="D60" s="54">
        <f>INDEX('02_Dispatch'!$C$21:$C$44,INT((A60-1)/4)+1)</f>
        <v>2.4</v>
      </c>
      <c r="E60" s="47">
        <f>INDEX('02_Dispatch'!$H$21:$H$44,INT((A60-1)/4)+1)</f>
        <v>7.5</v>
      </c>
      <c r="F60" s="47">
        <f>INDEX('02_Dispatch'!$I$21:$I$44,INT((A60-1)/4)+1)</f>
        <v>0</v>
      </c>
      <c r="G60" s="47">
        <f t="shared" si="6"/>
        <v>7.5</v>
      </c>
      <c r="H60" s="77">
        <f>100*(IF(INT((A60-1)/4)=0,0,INDEX('02_Dispatch'!$J$21:$J$44,INT((A60-1)/4)))+(INDEX('02_Dispatch'!$J$21:$J$44,INT((A60-1)/4)+1)-IF(INT((A60-1)/4)=0,0,INDEX('02_Dispatch'!$J$21:$J$44,INT((A60-1)/4))))*(MOD(A60-1,4)+1)/4)/'00_Inputs'!$B$14</f>
        <v>57.31702571247753</v>
      </c>
      <c r="I60" s="44" t="str">
        <f t="shared" si="7"/>
        <v>CHARGE</v>
      </c>
    </row>
    <row r="61" spans="1:9" x14ac:dyDescent="0.35">
      <c r="A61" s="55">
        <v>56</v>
      </c>
      <c r="B61" s="44" t="str">
        <f t="shared" si="4"/>
        <v>13:45</v>
      </c>
      <c r="C61" s="44" t="str">
        <f t="shared" si="5"/>
        <v>14:00</v>
      </c>
      <c r="D61" s="54">
        <f>INDEX('02_Dispatch'!$C$21:$C$44,INT((A61-1)/4)+1)</f>
        <v>2.4</v>
      </c>
      <c r="E61" s="47">
        <f>INDEX('02_Dispatch'!$H$21:$H$44,INT((A61-1)/4)+1)</f>
        <v>7.5</v>
      </c>
      <c r="F61" s="47">
        <f>INDEX('02_Dispatch'!$I$21:$I$44,INT((A61-1)/4)+1)</f>
        <v>0</v>
      </c>
      <c r="G61" s="47">
        <f t="shared" si="6"/>
        <v>7.5</v>
      </c>
      <c r="H61" s="77">
        <f>100*(IF(INT((A61-1)/4)=0,0,INDEX('02_Dispatch'!$J$21:$J$44,INT((A61-1)/4)))+(INDEX('02_Dispatch'!$J$21:$J$44,INT((A61-1)/4)+1)-IF(INT((A61-1)/4)=0,0,INDEX('02_Dispatch'!$J$21:$J$44,INT((A61-1)/4))))*(MOD(A61-1,4)+1)/4)/'00_Inputs'!$B$14</f>
        <v>59.809070308672212</v>
      </c>
      <c r="I61" s="44" t="str">
        <f t="shared" si="7"/>
        <v>CHARGE</v>
      </c>
    </row>
    <row r="62" spans="1:9" x14ac:dyDescent="0.35">
      <c r="A62" s="55">
        <v>57</v>
      </c>
      <c r="B62" s="44" t="str">
        <f t="shared" si="4"/>
        <v>14:00</v>
      </c>
      <c r="C62" s="44" t="str">
        <f t="shared" si="5"/>
        <v>14:15</v>
      </c>
      <c r="D62" s="54">
        <f>INDEX('02_Dispatch'!$C$21:$C$44,INT((A62-1)/4)+1)</f>
        <v>2.6</v>
      </c>
      <c r="E62" s="47">
        <f>INDEX('02_Dispatch'!$H$21:$H$44,INT((A62-1)/4)+1)</f>
        <v>7.5</v>
      </c>
      <c r="F62" s="47">
        <f>INDEX('02_Dispatch'!$I$21:$I$44,INT((A62-1)/4)+1)</f>
        <v>0</v>
      </c>
      <c r="G62" s="47">
        <f t="shared" si="6"/>
        <v>7.5</v>
      </c>
      <c r="H62" s="77">
        <f>100*(IF(INT((A62-1)/4)=0,0,INDEX('02_Dispatch'!$J$21:$J$44,INT((A62-1)/4)))+(INDEX('02_Dispatch'!$J$21:$J$44,INT((A62-1)/4)+1)-IF(INT((A62-1)/4)=0,0,INDEX('02_Dispatch'!$J$21:$J$44,INT((A62-1)/4))))*(MOD(A62-1,4)+1)/4)/'00_Inputs'!$B$14</f>
        <v>62.301114904866886</v>
      </c>
      <c r="I62" s="44" t="str">
        <f t="shared" si="7"/>
        <v>CHARGE</v>
      </c>
    </row>
    <row r="63" spans="1:9" x14ac:dyDescent="0.35">
      <c r="A63" s="55">
        <v>58</v>
      </c>
      <c r="B63" s="44" t="str">
        <f t="shared" si="4"/>
        <v>14:15</v>
      </c>
      <c r="C63" s="44" t="str">
        <f t="shared" si="5"/>
        <v>14:30</v>
      </c>
      <c r="D63" s="54">
        <f>INDEX('02_Dispatch'!$C$21:$C$44,INT((A63-1)/4)+1)</f>
        <v>2.6</v>
      </c>
      <c r="E63" s="47">
        <f>INDEX('02_Dispatch'!$H$21:$H$44,INT((A63-1)/4)+1)</f>
        <v>7.5</v>
      </c>
      <c r="F63" s="47">
        <f>INDEX('02_Dispatch'!$I$21:$I$44,INT((A63-1)/4)+1)</f>
        <v>0</v>
      </c>
      <c r="G63" s="47">
        <f t="shared" si="6"/>
        <v>7.5</v>
      </c>
      <c r="H63" s="77">
        <f>100*(IF(INT((A63-1)/4)=0,0,INDEX('02_Dispatch'!$J$21:$J$44,INT((A63-1)/4)))+(INDEX('02_Dispatch'!$J$21:$J$44,INT((A63-1)/4)+1)-IF(INT((A63-1)/4)=0,0,INDEX('02_Dispatch'!$J$21:$J$44,INT((A63-1)/4))))*(MOD(A63-1,4)+1)/4)/'00_Inputs'!$B$14</f>
        <v>64.793159501061552</v>
      </c>
      <c r="I63" s="44" t="str">
        <f t="shared" si="7"/>
        <v>CHARGE</v>
      </c>
    </row>
    <row r="64" spans="1:9" x14ac:dyDescent="0.35">
      <c r="A64" s="55">
        <v>59</v>
      </c>
      <c r="B64" s="44" t="str">
        <f t="shared" si="4"/>
        <v>14:30</v>
      </c>
      <c r="C64" s="44" t="str">
        <f t="shared" si="5"/>
        <v>14:45</v>
      </c>
      <c r="D64" s="54">
        <f>INDEX('02_Dispatch'!$C$21:$C$44,INT((A64-1)/4)+1)</f>
        <v>2.6</v>
      </c>
      <c r="E64" s="47">
        <f>INDEX('02_Dispatch'!$H$21:$H$44,INT((A64-1)/4)+1)</f>
        <v>7.5</v>
      </c>
      <c r="F64" s="47">
        <f>INDEX('02_Dispatch'!$I$21:$I$44,INT((A64-1)/4)+1)</f>
        <v>0</v>
      </c>
      <c r="G64" s="47">
        <f t="shared" si="6"/>
        <v>7.5</v>
      </c>
      <c r="H64" s="77">
        <f>100*(IF(INT((A64-1)/4)=0,0,INDEX('02_Dispatch'!$J$21:$J$44,INT((A64-1)/4)))+(INDEX('02_Dispatch'!$J$21:$J$44,INT((A64-1)/4)+1)-IF(INT((A64-1)/4)=0,0,INDEX('02_Dispatch'!$J$21:$J$44,INT((A64-1)/4))))*(MOD(A64-1,4)+1)/4)/'00_Inputs'!$B$14</f>
        <v>67.285204097256241</v>
      </c>
      <c r="I64" s="44" t="str">
        <f t="shared" si="7"/>
        <v>CHARGE</v>
      </c>
    </row>
    <row r="65" spans="1:9" x14ac:dyDescent="0.35">
      <c r="A65" s="55">
        <v>60</v>
      </c>
      <c r="B65" s="44" t="str">
        <f t="shared" si="4"/>
        <v>14:45</v>
      </c>
      <c r="C65" s="44" t="str">
        <f t="shared" si="5"/>
        <v>15:00</v>
      </c>
      <c r="D65" s="54">
        <f>INDEX('02_Dispatch'!$C$21:$C$44,INT((A65-1)/4)+1)</f>
        <v>2.6</v>
      </c>
      <c r="E65" s="47">
        <f>INDEX('02_Dispatch'!$H$21:$H$44,INT((A65-1)/4)+1)</f>
        <v>7.5</v>
      </c>
      <c r="F65" s="47">
        <f>INDEX('02_Dispatch'!$I$21:$I$44,INT((A65-1)/4)+1)</f>
        <v>0</v>
      </c>
      <c r="G65" s="47">
        <f t="shared" si="6"/>
        <v>7.5</v>
      </c>
      <c r="H65" s="77">
        <f>100*(IF(INT((A65-1)/4)=0,0,INDEX('02_Dispatch'!$J$21:$J$44,INT((A65-1)/4)))+(INDEX('02_Dispatch'!$J$21:$J$44,INT((A65-1)/4)+1)-IF(INT((A65-1)/4)=0,0,INDEX('02_Dispatch'!$J$21:$J$44,INT((A65-1)/4))))*(MOD(A65-1,4)+1)/4)/'00_Inputs'!$B$14</f>
        <v>69.777248693450915</v>
      </c>
      <c r="I65" s="44" t="str">
        <f t="shared" si="7"/>
        <v>CHARGE</v>
      </c>
    </row>
    <row r="66" spans="1:9" x14ac:dyDescent="0.35">
      <c r="A66" s="55">
        <v>61</v>
      </c>
      <c r="B66" s="44" t="str">
        <f t="shared" si="4"/>
        <v>15:00</v>
      </c>
      <c r="C66" s="44" t="str">
        <f t="shared" si="5"/>
        <v>15:15</v>
      </c>
      <c r="D66" s="54">
        <f>INDEX('02_Dispatch'!$C$21:$C$44,INT((A66-1)/4)+1)</f>
        <v>3.1</v>
      </c>
      <c r="E66" s="47">
        <f>INDEX('02_Dispatch'!$H$21:$H$44,INT((A66-1)/4)+1)</f>
        <v>7.1590909090909065</v>
      </c>
      <c r="F66" s="47">
        <f>INDEX('02_Dispatch'!$I$21:$I$44,INT((A66-1)/4)+1)</f>
        <v>0</v>
      </c>
      <c r="G66" s="47">
        <f t="shared" si="6"/>
        <v>7.1590909090909065</v>
      </c>
      <c r="H66" s="77">
        <f>100*(IF(INT((A66-1)/4)=0,0,INDEX('02_Dispatch'!$J$21:$J$44,INT((A66-1)/4)))+(INDEX('02_Dispatch'!$J$21:$J$44,INT((A66-1)/4)+1)-IF(INT((A66-1)/4)=0,0,INDEX('02_Dispatch'!$J$21:$J$44,INT((A66-1)/4))))*(MOD(A66-1,4)+1)/4)/'00_Inputs'!$B$14</f>
        <v>72.156018535273105</v>
      </c>
      <c r="I66" s="44" t="str">
        <f t="shared" si="7"/>
        <v>CHARGE</v>
      </c>
    </row>
    <row r="67" spans="1:9" x14ac:dyDescent="0.35">
      <c r="A67" s="55">
        <v>62</v>
      </c>
      <c r="B67" s="44" t="str">
        <f t="shared" si="4"/>
        <v>15:15</v>
      </c>
      <c r="C67" s="44" t="str">
        <f t="shared" si="5"/>
        <v>15:30</v>
      </c>
      <c r="D67" s="54">
        <f>INDEX('02_Dispatch'!$C$21:$C$44,INT((A67-1)/4)+1)</f>
        <v>3.1</v>
      </c>
      <c r="E67" s="47">
        <f>INDEX('02_Dispatch'!$H$21:$H$44,INT((A67-1)/4)+1)</f>
        <v>7.1590909090909065</v>
      </c>
      <c r="F67" s="47">
        <f>INDEX('02_Dispatch'!$I$21:$I$44,INT((A67-1)/4)+1)</f>
        <v>0</v>
      </c>
      <c r="G67" s="47">
        <f t="shared" si="6"/>
        <v>7.1590909090909065</v>
      </c>
      <c r="H67" s="77">
        <f>100*(IF(INT((A67-1)/4)=0,0,INDEX('02_Dispatch'!$J$21:$J$44,INT((A67-1)/4)))+(INDEX('02_Dispatch'!$J$21:$J$44,INT((A67-1)/4)+1)-IF(INT((A67-1)/4)=0,0,INDEX('02_Dispatch'!$J$21:$J$44,INT((A67-1)/4))))*(MOD(A67-1,4)+1)/4)/'00_Inputs'!$B$14</f>
        <v>74.534788377095282</v>
      </c>
      <c r="I67" s="44" t="str">
        <f t="shared" si="7"/>
        <v>CHARGE</v>
      </c>
    </row>
    <row r="68" spans="1:9" x14ac:dyDescent="0.35">
      <c r="A68" s="55">
        <v>63</v>
      </c>
      <c r="B68" s="44" t="str">
        <f t="shared" si="4"/>
        <v>15:30</v>
      </c>
      <c r="C68" s="44" t="str">
        <f t="shared" si="5"/>
        <v>15:45</v>
      </c>
      <c r="D68" s="54">
        <f>INDEX('02_Dispatch'!$C$21:$C$44,INT((A68-1)/4)+1)</f>
        <v>3.1</v>
      </c>
      <c r="E68" s="47">
        <f>INDEX('02_Dispatch'!$H$21:$H$44,INT((A68-1)/4)+1)</f>
        <v>7.1590909090909065</v>
      </c>
      <c r="F68" s="47">
        <f>INDEX('02_Dispatch'!$I$21:$I$44,INT((A68-1)/4)+1)</f>
        <v>0</v>
      </c>
      <c r="G68" s="47">
        <f t="shared" si="6"/>
        <v>7.1590909090909065</v>
      </c>
      <c r="H68" s="77">
        <f>100*(IF(INT((A68-1)/4)=0,0,INDEX('02_Dispatch'!$J$21:$J$44,INT((A68-1)/4)))+(INDEX('02_Dispatch'!$J$21:$J$44,INT((A68-1)/4)+1)-IF(INT((A68-1)/4)=0,0,INDEX('02_Dispatch'!$J$21:$J$44,INT((A68-1)/4))))*(MOD(A68-1,4)+1)/4)/'00_Inputs'!$B$14</f>
        <v>76.913558218917473</v>
      </c>
      <c r="I68" s="44" t="str">
        <f t="shared" si="7"/>
        <v>CHARGE</v>
      </c>
    </row>
    <row r="69" spans="1:9" x14ac:dyDescent="0.35">
      <c r="A69" s="55">
        <v>64</v>
      </c>
      <c r="B69" s="44" t="str">
        <f t="shared" si="4"/>
        <v>15:45</v>
      </c>
      <c r="C69" s="44" t="str">
        <f t="shared" si="5"/>
        <v>16:00</v>
      </c>
      <c r="D69" s="54">
        <f>INDEX('02_Dispatch'!$C$21:$C$44,INT((A69-1)/4)+1)</f>
        <v>3.1</v>
      </c>
      <c r="E69" s="47">
        <f>INDEX('02_Dispatch'!$H$21:$H$44,INT((A69-1)/4)+1)</f>
        <v>7.1590909090909065</v>
      </c>
      <c r="F69" s="47">
        <f>INDEX('02_Dispatch'!$I$21:$I$44,INT((A69-1)/4)+1)</f>
        <v>0</v>
      </c>
      <c r="G69" s="47">
        <f t="shared" si="6"/>
        <v>7.1590909090909065</v>
      </c>
      <c r="H69" s="77">
        <f>100*(IF(INT((A69-1)/4)=0,0,INDEX('02_Dispatch'!$J$21:$J$44,INT((A69-1)/4)))+(INDEX('02_Dispatch'!$J$21:$J$44,INT((A69-1)/4)+1)-IF(INT((A69-1)/4)=0,0,INDEX('02_Dispatch'!$J$21:$J$44,INT((A69-1)/4))))*(MOD(A69-1,4)+1)/4)/'00_Inputs'!$B$14</f>
        <v>79.292328060739678</v>
      </c>
      <c r="I69" s="44" t="str">
        <f t="shared" si="7"/>
        <v>CHARGE</v>
      </c>
    </row>
    <row r="70" spans="1:9" x14ac:dyDescent="0.35">
      <c r="A70" s="55">
        <v>65</v>
      </c>
      <c r="B70" s="44" t="str">
        <f t="shared" ref="B70:B101" si="8">TEXT(TIME(INT((A70-1)*15/60),MOD((A70-1)*15,60),0),"hh:mm")</f>
        <v>16:00</v>
      </c>
      <c r="C70" s="44" t="str">
        <f t="shared" ref="C70:C101" si="9">IF(A70=96,"24:00",TEXT(TIME(INT(A70*15/60),MOD(A70*15,60),0),"hh:mm"))</f>
        <v>16:15</v>
      </c>
      <c r="D70" s="54">
        <f>INDEX('02_Dispatch'!$C$21:$C$44,INT((A70-1)/4)+1)</f>
        <v>4</v>
      </c>
      <c r="E70" s="47">
        <f>INDEX('02_Dispatch'!$H$21:$H$44,INT((A70-1)/4)+1)</f>
        <v>0</v>
      </c>
      <c r="F70" s="47">
        <f>INDEX('02_Dispatch'!$I$21:$I$44,INT((A70-1)/4)+1)</f>
        <v>0</v>
      </c>
      <c r="G70" s="47">
        <f t="shared" ref="G70:G101" si="10">E70-F70</f>
        <v>0</v>
      </c>
      <c r="H70" s="77">
        <f>100*(IF(INT((A70-1)/4)=0,0,INDEX('02_Dispatch'!$J$21:$J$44,INT((A70-1)/4)))+(INDEX('02_Dispatch'!$J$21:$J$44,INT((A70-1)/4)+1)-IF(INT((A70-1)/4)=0,0,INDEX('02_Dispatch'!$J$21:$J$44,INT((A70-1)/4))))*(MOD(A70-1,4)+1)/4)/'00_Inputs'!$B$14</f>
        <v>79.292328060739678</v>
      </c>
      <c r="I70" s="44" t="str">
        <f t="shared" ref="I70:I101" si="11">IF(E70&gt;0,"CHARGE",IF(F70&gt;0,"DISCHARGE","—"))</f>
        <v>—</v>
      </c>
    </row>
    <row r="71" spans="1:9" x14ac:dyDescent="0.35">
      <c r="A71" s="55">
        <v>66</v>
      </c>
      <c r="B71" s="44" t="str">
        <f t="shared" si="8"/>
        <v>16:15</v>
      </c>
      <c r="C71" s="44" t="str">
        <f t="shared" si="9"/>
        <v>16:30</v>
      </c>
      <c r="D71" s="54">
        <f>INDEX('02_Dispatch'!$C$21:$C$44,INT((A71-1)/4)+1)</f>
        <v>4</v>
      </c>
      <c r="E71" s="47">
        <f>INDEX('02_Dispatch'!$H$21:$H$44,INT((A71-1)/4)+1)</f>
        <v>0</v>
      </c>
      <c r="F71" s="47">
        <f>INDEX('02_Dispatch'!$I$21:$I$44,INT((A71-1)/4)+1)</f>
        <v>0</v>
      </c>
      <c r="G71" s="47">
        <f t="shared" si="10"/>
        <v>0</v>
      </c>
      <c r="H71" s="77">
        <f>100*(IF(INT((A71-1)/4)=0,0,INDEX('02_Dispatch'!$J$21:$J$44,INT((A71-1)/4)))+(INDEX('02_Dispatch'!$J$21:$J$44,INT((A71-1)/4)+1)-IF(INT((A71-1)/4)=0,0,INDEX('02_Dispatch'!$J$21:$J$44,INT((A71-1)/4))))*(MOD(A71-1,4)+1)/4)/'00_Inputs'!$B$14</f>
        <v>79.292328060739678</v>
      </c>
      <c r="I71" s="44" t="str">
        <f t="shared" si="11"/>
        <v>—</v>
      </c>
    </row>
    <row r="72" spans="1:9" x14ac:dyDescent="0.35">
      <c r="A72" s="55">
        <v>67</v>
      </c>
      <c r="B72" s="44" t="str">
        <f t="shared" si="8"/>
        <v>16:30</v>
      </c>
      <c r="C72" s="44" t="str">
        <f t="shared" si="9"/>
        <v>16:45</v>
      </c>
      <c r="D72" s="54">
        <f>INDEX('02_Dispatch'!$C$21:$C$44,INT((A72-1)/4)+1)</f>
        <v>4</v>
      </c>
      <c r="E72" s="47">
        <f>INDEX('02_Dispatch'!$H$21:$H$44,INT((A72-1)/4)+1)</f>
        <v>0</v>
      </c>
      <c r="F72" s="47">
        <f>INDEX('02_Dispatch'!$I$21:$I$44,INT((A72-1)/4)+1)</f>
        <v>0</v>
      </c>
      <c r="G72" s="47">
        <f t="shared" si="10"/>
        <v>0</v>
      </c>
      <c r="H72" s="77">
        <f>100*(IF(INT((A72-1)/4)=0,0,INDEX('02_Dispatch'!$J$21:$J$44,INT((A72-1)/4)))+(INDEX('02_Dispatch'!$J$21:$J$44,INT((A72-1)/4)+1)-IF(INT((A72-1)/4)=0,0,INDEX('02_Dispatch'!$J$21:$J$44,INT((A72-1)/4))))*(MOD(A72-1,4)+1)/4)/'00_Inputs'!$B$14</f>
        <v>79.292328060739678</v>
      </c>
      <c r="I72" s="44" t="str">
        <f t="shared" si="11"/>
        <v>—</v>
      </c>
    </row>
    <row r="73" spans="1:9" x14ac:dyDescent="0.35">
      <c r="A73" s="55">
        <v>68</v>
      </c>
      <c r="B73" s="44" t="str">
        <f t="shared" si="8"/>
        <v>16:45</v>
      </c>
      <c r="C73" s="44" t="str">
        <f t="shared" si="9"/>
        <v>17:00</v>
      </c>
      <c r="D73" s="54">
        <f>INDEX('02_Dispatch'!$C$21:$C$44,INT((A73-1)/4)+1)</f>
        <v>4</v>
      </c>
      <c r="E73" s="47">
        <f>INDEX('02_Dispatch'!$H$21:$H$44,INT((A73-1)/4)+1)</f>
        <v>0</v>
      </c>
      <c r="F73" s="47">
        <f>INDEX('02_Dispatch'!$I$21:$I$44,INT((A73-1)/4)+1)</f>
        <v>0</v>
      </c>
      <c r="G73" s="47">
        <f t="shared" si="10"/>
        <v>0</v>
      </c>
      <c r="H73" s="77">
        <f>100*(IF(INT((A73-1)/4)=0,0,INDEX('02_Dispatch'!$J$21:$J$44,INT((A73-1)/4)))+(INDEX('02_Dispatch'!$J$21:$J$44,INT((A73-1)/4)+1)-IF(INT((A73-1)/4)=0,0,INDEX('02_Dispatch'!$J$21:$J$44,INT((A73-1)/4))))*(MOD(A73-1,4)+1)/4)/'00_Inputs'!$B$14</f>
        <v>79.292328060739678</v>
      </c>
      <c r="I73" s="44" t="str">
        <f t="shared" si="11"/>
        <v>—</v>
      </c>
    </row>
    <row r="74" spans="1:9" x14ac:dyDescent="0.35">
      <c r="A74" s="55">
        <v>69</v>
      </c>
      <c r="B74" s="44" t="str">
        <f t="shared" si="8"/>
        <v>17:00</v>
      </c>
      <c r="C74" s="44" t="str">
        <f t="shared" si="9"/>
        <v>17:15</v>
      </c>
      <c r="D74" s="54">
        <f>INDEX('02_Dispatch'!$C$21:$C$44,INT((A74-1)/4)+1)</f>
        <v>5.6</v>
      </c>
      <c r="E74" s="47">
        <f>INDEX('02_Dispatch'!$H$21:$H$44,INT((A74-1)/4)+1)</f>
        <v>0</v>
      </c>
      <c r="F74" s="47">
        <f>INDEX('02_Dispatch'!$I$21:$I$44,INT((A74-1)/4)+1)</f>
        <v>7.5</v>
      </c>
      <c r="G74" s="47">
        <f t="shared" si="10"/>
        <v>-7.5</v>
      </c>
      <c r="H74" s="77">
        <f>100*(IF(INT((A74-1)/4)=0,0,INDEX('02_Dispatch'!$J$21:$J$44,INT((A74-1)/4)))+(INDEX('02_Dispatch'!$J$21:$J$44,INT((A74-1)/4)+1)-IF(INT((A74-1)/4)=0,0,INDEX('02_Dispatch'!$J$21:$J$44,INT((A74-1)/4))))*(MOD(A74-1,4)+1)/4)/'00_Inputs'!$B$14</f>
        <v>76.46045920142754</v>
      </c>
      <c r="I74" s="44" t="str">
        <f t="shared" si="11"/>
        <v>DISCHARGE</v>
      </c>
    </row>
    <row r="75" spans="1:9" x14ac:dyDescent="0.35">
      <c r="A75" s="55">
        <v>70</v>
      </c>
      <c r="B75" s="44" t="str">
        <f t="shared" si="8"/>
        <v>17:15</v>
      </c>
      <c r="C75" s="44" t="str">
        <f t="shared" si="9"/>
        <v>17:30</v>
      </c>
      <c r="D75" s="54">
        <f>INDEX('02_Dispatch'!$C$21:$C$44,INT((A75-1)/4)+1)</f>
        <v>5.6</v>
      </c>
      <c r="E75" s="47">
        <f>INDEX('02_Dispatch'!$H$21:$H$44,INT((A75-1)/4)+1)</f>
        <v>0</v>
      </c>
      <c r="F75" s="47">
        <f>INDEX('02_Dispatch'!$I$21:$I$44,INT((A75-1)/4)+1)</f>
        <v>7.5</v>
      </c>
      <c r="G75" s="47">
        <f t="shared" si="10"/>
        <v>-7.5</v>
      </c>
      <c r="H75" s="77">
        <f>100*(IF(INT((A75-1)/4)=0,0,INDEX('02_Dispatch'!$J$21:$J$44,INT((A75-1)/4)))+(INDEX('02_Dispatch'!$J$21:$J$44,INT((A75-1)/4)+1)-IF(INT((A75-1)/4)=0,0,INDEX('02_Dispatch'!$J$21:$J$44,INT((A75-1)/4))))*(MOD(A75-1,4)+1)/4)/'00_Inputs'!$B$14</f>
        <v>73.628590342115402</v>
      </c>
      <c r="I75" s="44" t="str">
        <f t="shared" si="11"/>
        <v>DISCHARGE</v>
      </c>
    </row>
    <row r="76" spans="1:9" x14ac:dyDescent="0.35">
      <c r="A76" s="55">
        <v>71</v>
      </c>
      <c r="B76" s="44" t="str">
        <f t="shared" si="8"/>
        <v>17:30</v>
      </c>
      <c r="C76" s="44" t="str">
        <f t="shared" si="9"/>
        <v>17:45</v>
      </c>
      <c r="D76" s="54">
        <f>INDEX('02_Dispatch'!$C$21:$C$44,INT((A76-1)/4)+1)</f>
        <v>5.6</v>
      </c>
      <c r="E76" s="47">
        <f>INDEX('02_Dispatch'!$H$21:$H$44,INT((A76-1)/4)+1)</f>
        <v>0</v>
      </c>
      <c r="F76" s="47">
        <f>INDEX('02_Dispatch'!$I$21:$I$44,INT((A76-1)/4)+1)</f>
        <v>7.5</v>
      </c>
      <c r="G76" s="47">
        <f t="shared" si="10"/>
        <v>-7.5</v>
      </c>
      <c r="H76" s="77">
        <f>100*(IF(INT((A76-1)/4)=0,0,INDEX('02_Dispatch'!$J$21:$J$44,INT((A76-1)/4)))+(INDEX('02_Dispatch'!$J$21:$J$44,INT((A76-1)/4)+1)-IF(INT((A76-1)/4)=0,0,INDEX('02_Dispatch'!$J$21:$J$44,INT((A76-1)/4))))*(MOD(A76-1,4)+1)/4)/'00_Inputs'!$B$14</f>
        <v>70.796721482803278</v>
      </c>
      <c r="I76" s="44" t="str">
        <f t="shared" si="11"/>
        <v>DISCHARGE</v>
      </c>
    </row>
    <row r="77" spans="1:9" x14ac:dyDescent="0.35">
      <c r="A77" s="55">
        <v>72</v>
      </c>
      <c r="B77" s="44" t="str">
        <f t="shared" si="8"/>
        <v>17:45</v>
      </c>
      <c r="C77" s="44" t="str">
        <f t="shared" si="9"/>
        <v>18:00</v>
      </c>
      <c r="D77" s="54">
        <f>INDEX('02_Dispatch'!$C$21:$C$44,INT((A77-1)/4)+1)</f>
        <v>5.6</v>
      </c>
      <c r="E77" s="47">
        <f>INDEX('02_Dispatch'!$H$21:$H$44,INT((A77-1)/4)+1)</f>
        <v>0</v>
      </c>
      <c r="F77" s="47">
        <f>INDEX('02_Dispatch'!$I$21:$I$44,INT((A77-1)/4)+1)</f>
        <v>7.5</v>
      </c>
      <c r="G77" s="47">
        <f t="shared" si="10"/>
        <v>-7.5</v>
      </c>
      <c r="H77" s="77">
        <f>100*(IF(INT((A77-1)/4)=0,0,INDEX('02_Dispatch'!$J$21:$J$44,INT((A77-1)/4)))+(INDEX('02_Dispatch'!$J$21:$J$44,INT((A77-1)/4)+1)-IF(INT((A77-1)/4)=0,0,INDEX('02_Dispatch'!$J$21:$J$44,INT((A77-1)/4))))*(MOD(A77-1,4)+1)/4)/'00_Inputs'!$B$14</f>
        <v>67.96485262349114</v>
      </c>
      <c r="I77" s="44" t="str">
        <f t="shared" si="11"/>
        <v>DISCHARGE</v>
      </c>
    </row>
    <row r="78" spans="1:9" x14ac:dyDescent="0.35">
      <c r="A78" s="55">
        <v>73</v>
      </c>
      <c r="B78" s="44" t="str">
        <f t="shared" si="8"/>
        <v>18:00</v>
      </c>
      <c r="C78" s="44" t="str">
        <f t="shared" si="9"/>
        <v>18:15</v>
      </c>
      <c r="D78" s="54">
        <f>INDEX('02_Dispatch'!$C$21:$C$44,INT((A78-1)/4)+1)</f>
        <v>7.2</v>
      </c>
      <c r="E78" s="47">
        <f>INDEX('02_Dispatch'!$H$21:$H$44,INT((A78-1)/4)+1)</f>
        <v>0</v>
      </c>
      <c r="F78" s="47">
        <f>INDEX('02_Dispatch'!$I$21:$I$44,INT((A78-1)/4)+1)</f>
        <v>7.5</v>
      </c>
      <c r="G78" s="47">
        <f t="shared" si="10"/>
        <v>-7.5</v>
      </c>
      <c r="H78" s="77">
        <f>100*(IF(INT((A78-1)/4)=0,0,INDEX('02_Dispatch'!$J$21:$J$44,INT((A78-1)/4)))+(INDEX('02_Dispatch'!$J$21:$J$44,INT((A78-1)/4)+1)-IF(INT((A78-1)/4)=0,0,INDEX('02_Dispatch'!$J$21:$J$44,INT((A78-1)/4))))*(MOD(A78-1,4)+1)/4)/'00_Inputs'!$B$14</f>
        <v>65.132983764179002</v>
      </c>
      <c r="I78" s="44" t="str">
        <f t="shared" si="11"/>
        <v>DISCHARGE</v>
      </c>
    </row>
    <row r="79" spans="1:9" x14ac:dyDescent="0.35">
      <c r="A79" s="55">
        <v>74</v>
      </c>
      <c r="B79" s="44" t="str">
        <f t="shared" si="8"/>
        <v>18:15</v>
      </c>
      <c r="C79" s="44" t="str">
        <f t="shared" si="9"/>
        <v>18:30</v>
      </c>
      <c r="D79" s="54">
        <f>INDEX('02_Dispatch'!$C$21:$C$44,INT((A79-1)/4)+1)</f>
        <v>7.2</v>
      </c>
      <c r="E79" s="47">
        <f>INDEX('02_Dispatch'!$H$21:$H$44,INT((A79-1)/4)+1)</f>
        <v>0</v>
      </c>
      <c r="F79" s="47">
        <f>INDEX('02_Dispatch'!$I$21:$I$44,INT((A79-1)/4)+1)</f>
        <v>7.5</v>
      </c>
      <c r="G79" s="47">
        <f t="shared" si="10"/>
        <v>-7.5</v>
      </c>
      <c r="H79" s="77">
        <f>100*(IF(INT((A79-1)/4)=0,0,INDEX('02_Dispatch'!$J$21:$J$44,INT((A79-1)/4)))+(INDEX('02_Dispatch'!$J$21:$J$44,INT((A79-1)/4)+1)-IF(INT((A79-1)/4)=0,0,INDEX('02_Dispatch'!$J$21:$J$44,INT((A79-1)/4))))*(MOD(A79-1,4)+1)/4)/'00_Inputs'!$B$14</f>
        <v>62.301114904866886</v>
      </c>
      <c r="I79" s="44" t="str">
        <f t="shared" si="11"/>
        <v>DISCHARGE</v>
      </c>
    </row>
    <row r="80" spans="1:9" x14ac:dyDescent="0.35">
      <c r="A80" s="55">
        <v>75</v>
      </c>
      <c r="B80" s="44" t="str">
        <f t="shared" si="8"/>
        <v>18:30</v>
      </c>
      <c r="C80" s="44" t="str">
        <f t="shared" si="9"/>
        <v>18:45</v>
      </c>
      <c r="D80" s="54">
        <f>INDEX('02_Dispatch'!$C$21:$C$44,INT((A80-1)/4)+1)</f>
        <v>7.2</v>
      </c>
      <c r="E80" s="47">
        <f>INDEX('02_Dispatch'!$H$21:$H$44,INT((A80-1)/4)+1)</f>
        <v>0</v>
      </c>
      <c r="F80" s="47">
        <f>INDEX('02_Dispatch'!$I$21:$I$44,INT((A80-1)/4)+1)</f>
        <v>7.5</v>
      </c>
      <c r="G80" s="47">
        <f t="shared" si="10"/>
        <v>-7.5</v>
      </c>
      <c r="H80" s="77">
        <f>100*(IF(INT((A80-1)/4)=0,0,INDEX('02_Dispatch'!$J$21:$J$44,INT((A80-1)/4)))+(INDEX('02_Dispatch'!$J$21:$J$44,INT((A80-1)/4)+1)-IF(INT((A80-1)/4)=0,0,INDEX('02_Dispatch'!$J$21:$J$44,INT((A80-1)/4))))*(MOD(A80-1,4)+1)/4)/'00_Inputs'!$B$14</f>
        <v>59.469246045554748</v>
      </c>
      <c r="I80" s="44" t="str">
        <f t="shared" si="11"/>
        <v>DISCHARGE</v>
      </c>
    </row>
    <row r="81" spans="1:9" x14ac:dyDescent="0.35">
      <c r="A81" s="55">
        <v>76</v>
      </c>
      <c r="B81" s="44" t="str">
        <f t="shared" si="8"/>
        <v>18:45</v>
      </c>
      <c r="C81" s="44" t="str">
        <f t="shared" si="9"/>
        <v>19:00</v>
      </c>
      <c r="D81" s="54">
        <f>INDEX('02_Dispatch'!$C$21:$C$44,INT((A81-1)/4)+1)</f>
        <v>7.2</v>
      </c>
      <c r="E81" s="47">
        <f>INDEX('02_Dispatch'!$H$21:$H$44,INT((A81-1)/4)+1)</f>
        <v>0</v>
      </c>
      <c r="F81" s="47">
        <f>INDEX('02_Dispatch'!$I$21:$I$44,INT((A81-1)/4)+1)</f>
        <v>7.5</v>
      </c>
      <c r="G81" s="47">
        <f t="shared" si="10"/>
        <v>-7.5</v>
      </c>
      <c r="H81" s="77">
        <f>100*(IF(INT((A81-1)/4)=0,0,INDEX('02_Dispatch'!$J$21:$J$44,INT((A81-1)/4)))+(INDEX('02_Dispatch'!$J$21:$J$44,INT((A81-1)/4)+1)-IF(INT((A81-1)/4)=0,0,INDEX('02_Dispatch'!$J$21:$J$44,INT((A81-1)/4))))*(MOD(A81-1,4)+1)/4)/'00_Inputs'!$B$14</f>
        <v>56.637377186242617</v>
      </c>
      <c r="I81" s="44" t="str">
        <f t="shared" si="11"/>
        <v>DISCHARGE</v>
      </c>
    </row>
    <row r="82" spans="1:9" x14ac:dyDescent="0.35">
      <c r="A82" s="55">
        <v>77</v>
      </c>
      <c r="B82" s="44" t="str">
        <f t="shared" si="8"/>
        <v>19:00</v>
      </c>
      <c r="C82" s="44" t="str">
        <f t="shared" si="9"/>
        <v>19:15</v>
      </c>
      <c r="D82" s="54">
        <f>INDEX('02_Dispatch'!$C$21:$C$44,INT((A82-1)/4)+1)</f>
        <v>8.5</v>
      </c>
      <c r="E82" s="47">
        <f>INDEX('02_Dispatch'!$H$21:$H$44,INT((A82-1)/4)+1)</f>
        <v>0</v>
      </c>
      <c r="F82" s="47">
        <f>INDEX('02_Dispatch'!$I$21:$I$44,INT((A82-1)/4)+1)</f>
        <v>7.5</v>
      </c>
      <c r="G82" s="47">
        <f t="shared" si="10"/>
        <v>-7.5</v>
      </c>
      <c r="H82" s="77">
        <f>100*(IF(INT((A82-1)/4)=0,0,INDEX('02_Dispatch'!$J$21:$J$44,INT((A82-1)/4)))+(INDEX('02_Dispatch'!$J$21:$J$44,INT((A82-1)/4)+1)-IF(INT((A82-1)/4)=0,0,INDEX('02_Dispatch'!$J$21:$J$44,INT((A82-1)/4))))*(MOD(A82-1,4)+1)/4)/'00_Inputs'!$B$14</f>
        <v>53.805508326930486</v>
      </c>
      <c r="I82" s="44" t="str">
        <f t="shared" si="11"/>
        <v>DISCHARGE</v>
      </c>
    </row>
    <row r="83" spans="1:9" x14ac:dyDescent="0.35">
      <c r="A83" s="55">
        <v>78</v>
      </c>
      <c r="B83" s="44" t="str">
        <f t="shared" si="8"/>
        <v>19:15</v>
      </c>
      <c r="C83" s="44" t="str">
        <f t="shared" si="9"/>
        <v>19:30</v>
      </c>
      <c r="D83" s="54">
        <f>INDEX('02_Dispatch'!$C$21:$C$44,INT((A83-1)/4)+1)</f>
        <v>8.5</v>
      </c>
      <c r="E83" s="47">
        <f>INDEX('02_Dispatch'!$H$21:$H$44,INT((A83-1)/4)+1)</f>
        <v>0</v>
      </c>
      <c r="F83" s="47">
        <f>INDEX('02_Dispatch'!$I$21:$I$44,INT((A83-1)/4)+1)</f>
        <v>7.5</v>
      </c>
      <c r="G83" s="47">
        <f t="shared" si="10"/>
        <v>-7.5</v>
      </c>
      <c r="H83" s="77">
        <f>100*(IF(INT((A83-1)/4)=0,0,INDEX('02_Dispatch'!$J$21:$J$44,INT((A83-1)/4)))+(INDEX('02_Dispatch'!$J$21:$J$44,INT((A83-1)/4)+1)-IF(INT((A83-1)/4)=0,0,INDEX('02_Dispatch'!$J$21:$J$44,INT((A83-1)/4))))*(MOD(A83-1,4)+1)/4)/'00_Inputs'!$B$14</f>
        <v>50.973639467618348</v>
      </c>
      <c r="I83" s="44" t="str">
        <f t="shared" si="11"/>
        <v>DISCHARGE</v>
      </c>
    </row>
    <row r="84" spans="1:9" x14ac:dyDescent="0.35">
      <c r="A84" s="55">
        <v>79</v>
      </c>
      <c r="B84" s="44" t="str">
        <f t="shared" si="8"/>
        <v>19:30</v>
      </c>
      <c r="C84" s="44" t="str">
        <f t="shared" si="9"/>
        <v>19:45</v>
      </c>
      <c r="D84" s="54">
        <f>INDEX('02_Dispatch'!$C$21:$C$44,INT((A84-1)/4)+1)</f>
        <v>8.5</v>
      </c>
      <c r="E84" s="47">
        <f>INDEX('02_Dispatch'!$H$21:$H$44,INT((A84-1)/4)+1)</f>
        <v>0</v>
      </c>
      <c r="F84" s="47">
        <f>INDEX('02_Dispatch'!$I$21:$I$44,INT((A84-1)/4)+1)</f>
        <v>7.5</v>
      </c>
      <c r="G84" s="47">
        <f t="shared" si="10"/>
        <v>-7.5</v>
      </c>
      <c r="H84" s="77">
        <f>100*(IF(INT((A84-1)/4)=0,0,INDEX('02_Dispatch'!$J$21:$J$44,INT((A84-1)/4)))+(INDEX('02_Dispatch'!$J$21:$J$44,INT((A84-1)/4)+1)-IF(INT((A84-1)/4)=0,0,INDEX('02_Dispatch'!$J$21:$J$44,INT((A84-1)/4))))*(MOD(A84-1,4)+1)/4)/'00_Inputs'!$B$14</f>
        <v>48.141770608306224</v>
      </c>
      <c r="I84" s="44" t="str">
        <f t="shared" si="11"/>
        <v>DISCHARGE</v>
      </c>
    </row>
    <row r="85" spans="1:9" x14ac:dyDescent="0.35">
      <c r="A85" s="55">
        <v>80</v>
      </c>
      <c r="B85" s="44" t="str">
        <f t="shared" si="8"/>
        <v>19:45</v>
      </c>
      <c r="C85" s="44" t="str">
        <f t="shared" si="9"/>
        <v>20:00</v>
      </c>
      <c r="D85" s="54">
        <f>INDEX('02_Dispatch'!$C$21:$C$44,INT((A85-1)/4)+1)</f>
        <v>8.5</v>
      </c>
      <c r="E85" s="47">
        <f>INDEX('02_Dispatch'!$H$21:$H$44,INT((A85-1)/4)+1)</f>
        <v>0</v>
      </c>
      <c r="F85" s="47">
        <f>INDEX('02_Dispatch'!$I$21:$I$44,INT((A85-1)/4)+1)</f>
        <v>7.5</v>
      </c>
      <c r="G85" s="47">
        <f t="shared" si="10"/>
        <v>-7.5</v>
      </c>
      <c r="H85" s="77">
        <f>100*(IF(INT((A85-1)/4)=0,0,INDEX('02_Dispatch'!$J$21:$J$44,INT((A85-1)/4)))+(INDEX('02_Dispatch'!$J$21:$J$44,INT((A85-1)/4)+1)-IF(INT((A85-1)/4)=0,0,INDEX('02_Dispatch'!$J$21:$J$44,INT((A85-1)/4))))*(MOD(A85-1,4)+1)/4)/'00_Inputs'!$B$14</f>
        <v>45.309901748994093</v>
      </c>
      <c r="I85" s="44" t="str">
        <f t="shared" si="11"/>
        <v>DISCHARGE</v>
      </c>
    </row>
    <row r="86" spans="1:9" x14ac:dyDescent="0.35">
      <c r="A86" s="55">
        <v>81</v>
      </c>
      <c r="B86" s="44" t="str">
        <f t="shared" si="8"/>
        <v>20:00</v>
      </c>
      <c r="C86" s="44" t="str">
        <f t="shared" si="9"/>
        <v>20:15</v>
      </c>
      <c r="D86" s="54">
        <f>INDEX('02_Dispatch'!$C$21:$C$44,INT((A86-1)/4)+1)</f>
        <v>8.9</v>
      </c>
      <c r="E86" s="47">
        <f>INDEX('02_Dispatch'!$H$21:$H$44,INT((A86-1)/4)+1)</f>
        <v>0</v>
      </c>
      <c r="F86" s="47">
        <f>INDEX('02_Dispatch'!$I$21:$I$44,INT((A86-1)/4)+1)</f>
        <v>7.5</v>
      </c>
      <c r="G86" s="47">
        <f t="shared" si="10"/>
        <v>-7.5</v>
      </c>
      <c r="H86" s="77">
        <f>100*(IF(INT((A86-1)/4)=0,0,INDEX('02_Dispatch'!$J$21:$J$44,INT((A86-1)/4)))+(INDEX('02_Dispatch'!$J$21:$J$44,INT((A86-1)/4)+1)-IF(INT((A86-1)/4)=0,0,INDEX('02_Dispatch'!$J$21:$J$44,INT((A86-1)/4))))*(MOD(A86-1,4)+1)/4)/'00_Inputs'!$B$14</f>
        <v>42.478032889681955</v>
      </c>
      <c r="I86" s="44" t="str">
        <f t="shared" si="11"/>
        <v>DISCHARGE</v>
      </c>
    </row>
    <row r="87" spans="1:9" x14ac:dyDescent="0.35">
      <c r="A87" s="55">
        <v>82</v>
      </c>
      <c r="B87" s="44" t="str">
        <f t="shared" si="8"/>
        <v>20:15</v>
      </c>
      <c r="C87" s="44" t="str">
        <f t="shared" si="9"/>
        <v>20:30</v>
      </c>
      <c r="D87" s="54">
        <f>INDEX('02_Dispatch'!$C$21:$C$44,INT((A87-1)/4)+1)</f>
        <v>8.9</v>
      </c>
      <c r="E87" s="47">
        <f>INDEX('02_Dispatch'!$H$21:$H$44,INT((A87-1)/4)+1)</f>
        <v>0</v>
      </c>
      <c r="F87" s="47">
        <f>INDEX('02_Dispatch'!$I$21:$I$44,INT((A87-1)/4)+1)</f>
        <v>7.5</v>
      </c>
      <c r="G87" s="47">
        <f t="shared" si="10"/>
        <v>-7.5</v>
      </c>
      <c r="H87" s="77">
        <f>100*(IF(INT((A87-1)/4)=0,0,INDEX('02_Dispatch'!$J$21:$J$44,INT((A87-1)/4)))+(INDEX('02_Dispatch'!$J$21:$J$44,INT((A87-1)/4)+1)-IF(INT((A87-1)/4)=0,0,INDEX('02_Dispatch'!$J$21:$J$44,INT((A87-1)/4))))*(MOD(A87-1,4)+1)/4)/'00_Inputs'!$B$14</f>
        <v>39.646164030369832</v>
      </c>
      <c r="I87" s="44" t="str">
        <f t="shared" si="11"/>
        <v>DISCHARGE</v>
      </c>
    </row>
    <row r="88" spans="1:9" x14ac:dyDescent="0.35">
      <c r="A88" s="55">
        <v>83</v>
      </c>
      <c r="B88" s="44" t="str">
        <f t="shared" si="8"/>
        <v>20:30</v>
      </c>
      <c r="C88" s="44" t="str">
        <f t="shared" si="9"/>
        <v>20:45</v>
      </c>
      <c r="D88" s="54">
        <f>INDEX('02_Dispatch'!$C$21:$C$44,INT((A88-1)/4)+1)</f>
        <v>8.9</v>
      </c>
      <c r="E88" s="47">
        <f>INDEX('02_Dispatch'!$H$21:$H$44,INT((A88-1)/4)+1)</f>
        <v>0</v>
      </c>
      <c r="F88" s="47">
        <f>INDEX('02_Dispatch'!$I$21:$I$44,INT((A88-1)/4)+1)</f>
        <v>7.5</v>
      </c>
      <c r="G88" s="47">
        <f t="shared" si="10"/>
        <v>-7.5</v>
      </c>
      <c r="H88" s="77">
        <f>100*(IF(INT((A88-1)/4)=0,0,INDEX('02_Dispatch'!$J$21:$J$44,INT((A88-1)/4)))+(INDEX('02_Dispatch'!$J$21:$J$44,INT((A88-1)/4)+1)-IF(INT((A88-1)/4)=0,0,INDEX('02_Dispatch'!$J$21:$J$44,INT((A88-1)/4))))*(MOD(A88-1,4)+1)/4)/'00_Inputs'!$B$14</f>
        <v>36.814295171057701</v>
      </c>
      <c r="I88" s="44" t="str">
        <f t="shared" si="11"/>
        <v>DISCHARGE</v>
      </c>
    </row>
    <row r="89" spans="1:9" x14ac:dyDescent="0.35">
      <c r="A89" s="55">
        <v>84</v>
      </c>
      <c r="B89" s="44" t="str">
        <f t="shared" si="8"/>
        <v>20:45</v>
      </c>
      <c r="C89" s="44" t="str">
        <f t="shared" si="9"/>
        <v>21:00</v>
      </c>
      <c r="D89" s="54">
        <f>INDEX('02_Dispatch'!$C$21:$C$44,INT((A89-1)/4)+1)</f>
        <v>8.9</v>
      </c>
      <c r="E89" s="47">
        <f>INDEX('02_Dispatch'!$H$21:$H$44,INT((A89-1)/4)+1)</f>
        <v>0</v>
      </c>
      <c r="F89" s="47">
        <f>INDEX('02_Dispatch'!$I$21:$I$44,INT((A89-1)/4)+1)</f>
        <v>7.5</v>
      </c>
      <c r="G89" s="47">
        <f t="shared" si="10"/>
        <v>-7.5</v>
      </c>
      <c r="H89" s="77">
        <f>100*(IF(INT((A89-1)/4)=0,0,INDEX('02_Dispatch'!$J$21:$J$44,INT((A89-1)/4)))+(INDEX('02_Dispatch'!$J$21:$J$44,INT((A89-1)/4)+1)-IF(INT((A89-1)/4)=0,0,INDEX('02_Dispatch'!$J$21:$J$44,INT((A89-1)/4))))*(MOD(A89-1,4)+1)/4)/'00_Inputs'!$B$14</f>
        <v>33.982426311745563</v>
      </c>
      <c r="I89" s="44" t="str">
        <f t="shared" si="11"/>
        <v>DISCHARGE</v>
      </c>
    </row>
    <row r="90" spans="1:9" x14ac:dyDescent="0.35">
      <c r="A90" s="55">
        <v>85</v>
      </c>
      <c r="B90" s="44" t="str">
        <f t="shared" si="8"/>
        <v>21:00</v>
      </c>
      <c r="C90" s="44" t="str">
        <f t="shared" si="9"/>
        <v>21:15</v>
      </c>
      <c r="D90" s="54">
        <f>INDEX('02_Dispatch'!$C$21:$C$44,INT((A90-1)/4)+1)</f>
        <v>7.8</v>
      </c>
      <c r="E90" s="47">
        <f>INDEX('02_Dispatch'!$H$21:$H$44,INT((A90-1)/4)+1)</f>
        <v>0</v>
      </c>
      <c r="F90" s="47">
        <f>INDEX('02_Dispatch'!$I$21:$I$44,INT((A90-1)/4)+1)</f>
        <v>7.5</v>
      </c>
      <c r="G90" s="47">
        <f t="shared" si="10"/>
        <v>-7.5</v>
      </c>
      <c r="H90" s="77">
        <f>100*(IF(INT((A90-1)/4)=0,0,INDEX('02_Dispatch'!$J$21:$J$44,INT((A90-1)/4)))+(INDEX('02_Dispatch'!$J$21:$J$44,INT((A90-1)/4)+1)-IF(INT((A90-1)/4)=0,0,INDEX('02_Dispatch'!$J$21:$J$44,INT((A90-1)/4))))*(MOD(A90-1,4)+1)/4)/'00_Inputs'!$B$14</f>
        <v>31.150557452433429</v>
      </c>
      <c r="I90" s="44" t="str">
        <f t="shared" si="11"/>
        <v>DISCHARGE</v>
      </c>
    </row>
    <row r="91" spans="1:9" x14ac:dyDescent="0.35">
      <c r="A91" s="55">
        <v>86</v>
      </c>
      <c r="B91" s="44" t="str">
        <f t="shared" si="8"/>
        <v>21:15</v>
      </c>
      <c r="C91" s="44" t="str">
        <f t="shared" si="9"/>
        <v>21:30</v>
      </c>
      <c r="D91" s="54">
        <f>INDEX('02_Dispatch'!$C$21:$C$44,INT((A91-1)/4)+1)</f>
        <v>7.8</v>
      </c>
      <c r="E91" s="47">
        <f>INDEX('02_Dispatch'!$H$21:$H$44,INT((A91-1)/4)+1)</f>
        <v>0</v>
      </c>
      <c r="F91" s="47">
        <f>INDEX('02_Dispatch'!$I$21:$I$44,INT((A91-1)/4)+1)</f>
        <v>7.5</v>
      </c>
      <c r="G91" s="47">
        <f t="shared" si="10"/>
        <v>-7.5</v>
      </c>
      <c r="H91" s="77">
        <f>100*(IF(INT((A91-1)/4)=0,0,INDEX('02_Dispatch'!$J$21:$J$44,INT((A91-1)/4)))+(INDEX('02_Dispatch'!$J$21:$J$44,INT((A91-1)/4)+1)-IF(INT((A91-1)/4)=0,0,INDEX('02_Dispatch'!$J$21:$J$44,INT((A91-1)/4))))*(MOD(A91-1,4)+1)/4)/'00_Inputs'!$B$14</f>
        <v>28.318688593121301</v>
      </c>
      <c r="I91" s="44" t="str">
        <f t="shared" si="11"/>
        <v>DISCHARGE</v>
      </c>
    </row>
    <row r="92" spans="1:9" x14ac:dyDescent="0.35">
      <c r="A92" s="55">
        <v>87</v>
      </c>
      <c r="B92" s="44" t="str">
        <f t="shared" si="8"/>
        <v>21:30</v>
      </c>
      <c r="C92" s="44" t="str">
        <f t="shared" si="9"/>
        <v>21:45</v>
      </c>
      <c r="D92" s="54">
        <f>INDEX('02_Dispatch'!$C$21:$C$44,INT((A92-1)/4)+1)</f>
        <v>7.8</v>
      </c>
      <c r="E92" s="47">
        <f>INDEX('02_Dispatch'!$H$21:$H$44,INT((A92-1)/4)+1)</f>
        <v>0</v>
      </c>
      <c r="F92" s="47">
        <f>INDEX('02_Dispatch'!$I$21:$I$44,INT((A92-1)/4)+1)</f>
        <v>7.5</v>
      </c>
      <c r="G92" s="47">
        <f t="shared" si="10"/>
        <v>-7.5</v>
      </c>
      <c r="H92" s="77">
        <f>100*(IF(INT((A92-1)/4)=0,0,INDEX('02_Dispatch'!$J$21:$J$44,INT((A92-1)/4)))+(INDEX('02_Dispatch'!$J$21:$J$44,INT((A92-1)/4)+1)-IF(INT((A92-1)/4)=0,0,INDEX('02_Dispatch'!$J$21:$J$44,INT((A92-1)/4))))*(MOD(A92-1,4)+1)/4)/'00_Inputs'!$B$14</f>
        <v>25.486819733809174</v>
      </c>
      <c r="I92" s="44" t="str">
        <f t="shared" si="11"/>
        <v>DISCHARGE</v>
      </c>
    </row>
    <row r="93" spans="1:9" x14ac:dyDescent="0.35">
      <c r="A93" s="55">
        <v>88</v>
      </c>
      <c r="B93" s="44" t="str">
        <f t="shared" si="8"/>
        <v>21:45</v>
      </c>
      <c r="C93" s="44" t="str">
        <f t="shared" si="9"/>
        <v>22:00</v>
      </c>
      <c r="D93" s="54">
        <f>INDEX('02_Dispatch'!$C$21:$C$44,INT((A93-1)/4)+1)</f>
        <v>7.8</v>
      </c>
      <c r="E93" s="47">
        <f>INDEX('02_Dispatch'!$H$21:$H$44,INT((A93-1)/4)+1)</f>
        <v>0</v>
      </c>
      <c r="F93" s="47">
        <f>INDEX('02_Dispatch'!$I$21:$I$44,INT((A93-1)/4)+1)</f>
        <v>7.5</v>
      </c>
      <c r="G93" s="47">
        <f t="shared" si="10"/>
        <v>-7.5</v>
      </c>
      <c r="H93" s="77">
        <f>100*(IF(INT((A93-1)/4)=0,0,INDEX('02_Dispatch'!$J$21:$J$44,INT((A93-1)/4)))+(INDEX('02_Dispatch'!$J$21:$J$44,INT((A93-1)/4)+1)-IF(INT((A93-1)/4)=0,0,INDEX('02_Dispatch'!$J$21:$J$44,INT((A93-1)/4))))*(MOD(A93-1,4)+1)/4)/'00_Inputs'!$B$14</f>
        <v>22.654950874497043</v>
      </c>
      <c r="I93" s="44" t="str">
        <f t="shared" si="11"/>
        <v>DISCHARGE</v>
      </c>
    </row>
    <row r="94" spans="1:9" x14ac:dyDescent="0.35">
      <c r="A94" s="55">
        <v>89</v>
      </c>
      <c r="B94" s="44" t="str">
        <f t="shared" si="8"/>
        <v>22:00</v>
      </c>
      <c r="C94" s="44" t="str">
        <f t="shared" si="9"/>
        <v>22:15</v>
      </c>
      <c r="D94" s="54">
        <f>INDEX('02_Dispatch'!$C$21:$C$44,INT((A94-1)/4)+1)</f>
        <v>6.2</v>
      </c>
      <c r="E94" s="47">
        <f>INDEX('02_Dispatch'!$H$21:$H$44,INT((A94-1)/4)+1)</f>
        <v>0</v>
      </c>
      <c r="F94" s="47">
        <f>INDEX('02_Dispatch'!$I$21:$I$44,INT((A94-1)/4)+1)</f>
        <v>7.5</v>
      </c>
      <c r="G94" s="47">
        <f t="shared" si="10"/>
        <v>-7.5</v>
      </c>
      <c r="H94" s="77">
        <f>100*(IF(INT((A94-1)/4)=0,0,INDEX('02_Dispatch'!$J$21:$J$44,INT((A94-1)/4)))+(INDEX('02_Dispatch'!$J$21:$J$44,INT((A94-1)/4)+1)-IF(INT((A94-1)/4)=0,0,INDEX('02_Dispatch'!$J$21:$J$44,INT((A94-1)/4))))*(MOD(A94-1,4)+1)/4)/'00_Inputs'!$B$14</f>
        <v>19.823082015184909</v>
      </c>
      <c r="I94" s="44" t="str">
        <f t="shared" si="11"/>
        <v>DISCHARGE</v>
      </c>
    </row>
    <row r="95" spans="1:9" x14ac:dyDescent="0.35">
      <c r="A95" s="55">
        <v>90</v>
      </c>
      <c r="B95" s="44" t="str">
        <f t="shared" si="8"/>
        <v>22:15</v>
      </c>
      <c r="C95" s="44" t="str">
        <f t="shared" si="9"/>
        <v>22:30</v>
      </c>
      <c r="D95" s="54">
        <f>INDEX('02_Dispatch'!$C$21:$C$44,INT((A95-1)/4)+1)</f>
        <v>6.2</v>
      </c>
      <c r="E95" s="47">
        <f>INDEX('02_Dispatch'!$H$21:$H$44,INT((A95-1)/4)+1)</f>
        <v>0</v>
      </c>
      <c r="F95" s="47">
        <f>INDEX('02_Dispatch'!$I$21:$I$44,INT((A95-1)/4)+1)</f>
        <v>7.5</v>
      </c>
      <c r="G95" s="47">
        <f t="shared" si="10"/>
        <v>-7.5</v>
      </c>
      <c r="H95" s="77">
        <f>100*(IF(INT((A95-1)/4)=0,0,INDEX('02_Dispatch'!$J$21:$J$44,INT((A95-1)/4)))+(INDEX('02_Dispatch'!$J$21:$J$44,INT((A95-1)/4)+1)-IF(INT((A95-1)/4)=0,0,INDEX('02_Dispatch'!$J$21:$J$44,INT((A95-1)/4))))*(MOD(A95-1,4)+1)/4)/'00_Inputs'!$B$14</f>
        <v>16.991213155872778</v>
      </c>
      <c r="I95" s="44" t="str">
        <f t="shared" si="11"/>
        <v>DISCHARGE</v>
      </c>
    </row>
    <row r="96" spans="1:9" x14ac:dyDescent="0.35">
      <c r="A96" s="55">
        <v>91</v>
      </c>
      <c r="B96" s="44" t="str">
        <f t="shared" si="8"/>
        <v>22:30</v>
      </c>
      <c r="C96" s="44" t="str">
        <f t="shared" si="9"/>
        <v>22:45</v>
      </c>
      <c r="D96" s="54">
        <f>INDEX('02_Dispatch'!$C$21:$C$44,INT((A96-1)/4)+1)</f>
        <v>6.2</v>
      </c>
      <c r="E96" s="47">
        <f>INDEX('02_Dispatch'!$H$21:$H$44,INT((A96-1)/4)+1)</f>
        <v>0</v>
      </c>
      <c r="F96" s="47">
        <f>INDEX('02_Dispatch'!$I$21:$I$44,INT((A96-1)/4)+1)</f>
        <v>7.5</v>
      </c>
      <c r="G96" s="47">
        <f t="shared" si="10"/>
        <v>-7.5</v>
      </c>
      <c r="H96" s="77">
        <f>100*(IF(INT((A96-1)/4)=0,0,INDEX('02_Dispatch'!$J$21:$J$44,INT((A96-1)/4)))+(INDEX('02_Dispatch'!$J$21:$J$44,INT((A96-1)/4)+1)-IF(INT((A96-1)/4)=0,0,INDEX('02_Dispatch'!$J$21:$J$44,INT((A96-1)/4))))*(MOD(A96-1,4)+1)/4)/'00_Inputs'!$B$14</f>
        <v>14.159344296560649</v>
      </c>
      <c r="I96" s="44" t="str">
        <f t="shared" si="11"/>
        <v>DISCHARGE</v>
      </c>
    </row>
    <row r="97" spans="1:9" x14ac:dyDescent="0.35">
      <c r="A97" s="55">
        <v>92</v>
      </c>
      <c r="B97" s="44" t="str">
        <f t="shared" si="8"/>
        <v>22:45</v>
      </c>
      <c r="C97" s="44" t="str">
        <f t="shared" si="9"/>
        <v>23:00</v>
      </c>
      <c r="D97" s="54">
        <f>INDEX('02_Dispatch'!$C$21:$C$44,INT((A97-1)/4)+1)</f>
        <v>6.2</v>
      </c>
      <c r="E97" s="47">
        <f>INDEX('02_Dispatch'!$H$21:$H$44,INT((A97-1)/4)+1)</f>
        <v>0</v>
      </c>
      <c r="F97" s="47">
        <f>INDEX('02_Dispatch'!$I$21:$I$44,INT((A97-1)/4)+1)</f>
        <v>7.5</v>
      </c>
      <c r="G97" s="47">
        <f t="shared" si="10"/>
        <v>-7.5</v>
      </c>
      <c r="H97" s="77">
        <f>100*(IF(INT((A97-1)/4)=0,0,INDEX('02_Dispatch'!$J$21:$J$44,INT((A97-1)/4)))+(INDEX('02_Dispatch'!$J$21:$J$44,INT((A97-1)/4)+1)-IF(INT((A97-1)/4)=0,0,INDEX('02_Dispatch'!$J$21:$J$44,INT((A97-1)/4))))*(MOD(A97-1,4)+1)/4)/'00_Inputs'!$B$14</f>
        <v>11.327475437248514</v>
      </c>
      <c r="I97" s="44" t="str">
        <f t="shared" si="11"/>
        <v>DISCHARGE</v>
      </c>
    </row>
    <row r="98" spans="1:9" x14ac:dyDescent="0.35">
      <c r="A98" s="55">
        <v>93</v>
      </c>
      <c r="B98" s="44" t="str">
        <f t="shared" si="8"/>
        <v>23:00</v>
      </c>
      <c r="C98" s="44" t="str">
        <f t="shared" si="9"/>
        <v>23:15</v>
      </c>
      <c r="D98" s="54">
        <f>INDEX('02_Dispatch'!$C$21:$C$44,INT((A98-1)/4)+1)</f>
        <v>5</v>
      </c>
      <c r="E98" s="47">
        <f>INDEX('02_Dispatch'!$H$21:$H$44,INT((A98-1)/4)+1)</f>
        <v>0</v>
      </c>
      <c r="F98" s="47">
        <f>INDEX('02_Dispatch'!$I$21:$I$44,INT((A98-1)/4)+1)</f>
        <v>7.4999999999999947</v>
      </c>
      <c r="G98" s="47">
        <f t="shared" si="10"/>
        <v>-7.4999999999999947</v>
      </c>
      <c r="H98" s="77">
        <f>100*(IF(INT((A98-1)/4)=0,0,INDEX('02_Dispatch'!$J$21:$J$44,INT((A98-1)/4)))+(INDEX('02_Dispatch'!$J$21:$J$44,INT((A98-1)/4)+1)-IF(INT((A98-1)/4)=0,0,INDEX('02_Dispatch'!$J$21:$J$44,INT((A98-1)/4))))*(MOD(A98-1,4)+1)/4)/'00_Inputs'!$B$14</f>
        <v>8.4956065779363854</v>
      </c>
      <c r="I98" s="44" t="str">
        <f t="shared" si="11"/>
        <v>DISCHARGE</v>
      </c>
    </row>
    <row r="99" spans="1:9" x14ac:dyDescent="0.35">
      <c r="A99" s="55">
        <v>94</v>
      </c>
      <c r="B99" s="44" t="str">
        <f t="shared" si="8"/>
        <v>23:15</v>
      </c>
      <c r="C99" s="44" t="str">
        <f t="shared" si="9"/>
        <v>23:30</v>
      </c>
      <c r="D99" s="54">
        <f>INDEX('02_Dispatch'!$C$21:$C$44,INT((A99-1)/4)+1)</f>
        <v>5</v>
      </c>
      <c r="E99" s="47">
        <f>INDEX('02_Dispatch'!$H$21:$H$44,INT((A99-1)/4)+1)</f>
        <v>0</v>
      </c>
      <c r="F99" s="47">
        <f>INDEX('02_Dispatch'!$I$21:$I$44,INT((A99-1)/4)+1)</f>
        <v>7.4999999999999947</v>
      </c>
      <c r="G99" s="47">
        <f t="shared" si="10"/>
        <v>-7.4999999999999947</v>
      </c>
      <c r="H99" s="77">
        <f>100*(IF(INT((A99-1)/4)=0,0,INDEX('02_Dispatch'!$J$21:$J$44,INT((A99-1)/4)))+(INDEX('02_Dispatch'!$J$21:$J$44,INT((A99-1)/4)+1)-IF(INT((A99-1)/4)=0,0,INDEX('02_Dispatch'!$J$21:$J$44,INT((A99-1)/4))))*(MOD(A99-1,4)+1)/4)/'00_Inputs'!$B$14</f>
        <v>5.6637377186242572</v>
      </c>
      <c r="I99" s="44" t="str">
        <f t="shared" si="11"/>
        <v>DISCHARGE</v>
      </c>
    </row>
    <row r="100" spans="1:9" x14ac:dyDescent="0.35">
      <c r="A100" s="55">
        <v>95</v>
      </c>
      <c r="B100" s="44" t="str">
        <f t="shared" si="8"/>
        <v>23:30</v>
      </c>
      <c r="C100" s="44" t="str">
        <f t="shared" si="9"/>
        <v>23:45</v>
      </c>
      <c r="D100" s="54">
        <f>INDEX('02_Dispatch'!$C$21:$C$44,INT((A100-1)/4)+1)</f>
        <v>5</v>
      </c>
      <c r="E100" s="47">
        <f>INDEX('02_Dispatch'!$H$21:$H$44,INT((A100-1)/4)+1)</f>
        <v>0</v>
      </c>
      <c r="F100" s="47">
        <f>INDEX('02_Dispatch'!$I$21:$I$44,INT((A100-1)/4)+1)</f>
        <v>7.4999999999999947</v>
      </c>
      <c r="G100" s="47">
        <f t="shared" si="10"/>
        <v>-7.4999999999999947</v>
      </c>
      <c r="H100" s="77">
        <f>100*(IF(INT((A100-1)/4)=0,0,INDEX('02_Dispatch'!$J$21:$J$44,INT((A100-1)/4)))+(INDEX('02_Dispatch'!$J$21:$J$44,INT((A100-1)/4)+1)-IF(INT((A100-1)/4)=0,0,INDEX('02_Dispatch'!$J$21:$J$44,INT((A100-1)/4))))*(MOD(A100-1,4)+1)/4)/'00_Inputs'!$B$14</f>
        <v>2.8318688593121286</v>
      </c>
      <c r="I100" s="44" t="str">
        <f t="shared" si="11"/>
        <v>DISCHARGE</v>
      </c>
    </row>
    <row r="101" spans="1:9" x14ac:dyDescent="0.35">
      <c r="A101" s="55">
        <v>96</v>
      </c>
      <c r="B101" s="44" t="str">
        <f t="shared" si="8"/>
        <v>23:45</v>
      </c>
      <c r="C101" s="44" t="str">
        <f t="shared" si="9"/>
        <v>24:00</v>
      </c>
      <c r="D101" s="54">
        <f>INDEX('02_Dispatch'!$C$21:$C$44,INT((A101-1)/4)+1)</f>
        <v>5</v>
      </c>
      <c r="E101" s="47">
        <f>INDEX('02_Dispatch'!$H$21:$H$44,INT((A101-1)/4)+1)</f>
        <v>0</v>
      </c>
      <c r="F101" s="47">
        <f>INDEX('02_Dispatch'!$I$21:$I$44,INT((A101-1)/4)+1)</f>
        <v>7.4999999999999947</v>
      </c>
      <c r="G101" s="47">
        <f t="shared" si="10"/>
        <v>-7.4999999999999947</v>
      </c>
      <c r="H101" s="77">
        <f>100*(IF(INT((A101-1)/4)=0,0,INDEX('02_Dispatch'!$J$21:$J$44,INT((A101-1)/4)))+(INDEX('02_Dispatch'!$J$21:$J$44,INT((A101-1)/4)+1)-IF(INT((A101-1)/4)=0,0,INDEX('02_Dispatch'!$J$21:$J$44,INT((A101-1)/4))))*(MOD(A101-1,4)+1)/4)/'00_Inputs'!$B$14</f>
        <v>0</v>
      </c>
      <c r="I101" s="44" t="str">
        <f t="shared" si="11"/>
        <v>DISCHARGE</v>
      </c>
    </row>
    <row r="103" spans="1:9" x14ac:dyDescent="0.35">
      <c r="A103" s="3" t="s">
        <v>242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7"/>
  <sheetViews>
    <sheetView showGridLines="0" workbookViewId="0"/>
  </sheetViews>
  <sheetFormatPr defaultRowHeight="14.5" x14ac:dyDescent="0.35"/>
  <cols>
    <col min="1" max="1" width="8" customWidth="1"/>
    <col min="2" max="4" width="24" customWidth="1"/>
  </cols>
  <sheetData>
    <row r="1" spans="1:4" x14ac:dyDescent="0.35">
      <c r="A1" s="42" t="s">
        <v>117</v>
      </c>
      <c r="B1" s="42" t="s">
        <v>243</v>
      </c>
      <c r="C1" s="42" t="s">
        <v>244</v>
      </c>
      <c r="D1" s="42" t="s">
        <v>245</v>
      </c>
    </row>
    <row r="2" spans="1:4" x14ac:dyDescent="0.35">
      <c r="A2" s="43">
        <v>0</v>
      </c>
      <c r="B2" s="78">
        <v>4.2</v>
      </c>
      <c r="C2" s="78">
        <v>5</v>
      </c>
      <c r="D2" s="78">
        <v>3.8</v>
      </c>
    </row>
    <row r="3" spans="1:4" x14ac:dyDescent="0.35">
      <c r="A3" s="43">
        <v>1</v>
      </c>
      <c r="B3" s="78">
        <v>3.9</v>
      </c>
      <c r="C3" s="78">
        <v>4.5999999999999996</v>
      </c>
      <c r="D3" s="78">
        <v>3.6</v>
      </c>
    </row>
    <row r="4" spans="1:4" x14ac:dyDescent="0.35">
      <c r="A4" s="43">
        <v>2</v>
      </c>
      <c r="B4" s="78">
        <v>3.7</v>
      </c>
      <c r="C4" s="78">
        <v>4.4000000000000004</v>
      </c>
      <c r="D4" s="78">
        <v>3.5</v>
      </c>
    </row>
    <row r="5" spans="1:4" x14ac:dyDescent="0.35">
      <c r="A5" s="43">
        <v>3</v>
      </c>
      <c r="B5" s="78">
        <v>3.6</v>
      </c>
      <c r="C5" s="78">
        <v>4.3</v>
      </c>
      <c r="D5" s="78">
        <v>3.4</v>
      </c>
    </row>
    <row r="6" spans="1:4" x14ac:dyDescent="0.35">
      <c r="A6" s="43">
        <v>4</v>
      </c>
      <c r="B6" s="78">
        <v>3.5</v>
      </c>
      <c r="C6" s="78">
        <v>4.4000000000000004</v>
      </c>
      <c r="D6" s="78">
        <v>3.4</v>
      </c>
    </row>
    <row r="7" spans="1:4" x14ac:dyDescent="0.35">
      <c r="A7" s="43">
        <v>5</v>
      </c>
      <c r="B7" s="78">
        <v>3.8</v>
      </c>
      <c r="C7" s="78">
        <v>4.8</v>
      </c>
      <c r="D7" s="78">
        <v>3.6</v>
      </c>
    </row>
    <row r="8" spans="1:4" x14ac:dyDescent="0.35">
      <c r="A8" s="43">
        <v>6</v>
      </c>
      <c r="B8" s="78">
        <v>4.5999999999999996</v>
      </c>
      <c r="C8" s="78">
        <v>5.8</v>
      </c>
      <c r="D8" s="78">
        <v>4</v>
      </c>
    </row>
    <row r="9" spans="1:4" x14ac:dyDescent="0.35">
      <c r="A9" s="43">
        <v>7</v>
      </c>
      <c r="B9" s="78">
        <v>5.4</v>
      </c>
      <c r="C9" s="78">
        <v>6.8</v>
      </c>
      <c r="D9" s="78">
        <v>4.4000000000000004</v>
      </c>
    </row>
    <row r="10" spans="1:4" x14ac:dyDescent="0.35">
      <c r="A10" s="43">
        <v>8</v>
      </c>
      <c r="B10" s="78">
        <v>5.2</v>
      </c>
      <c r="C10" s="78">
        <v>6.2</v>
      </c>
      <c r="D10" s="78">
        <v>4.4000000000000004</v>
      </c>
    </row>
    <row r="11" spans="1:4" x14ac:dyDescent="0.35">
      <c r="A11" s="43">
        <v>9</v>
      </c>
      <c r="B11" s="78">
        <v>4</v>
      </c>
      <c r="C11" s="78">
        <v>4.5999999999999996</v>
      </c>
      <c r="D11" s="78">
        <v>4</v>
      </c>
    </row>
    <row r="12" spans="1:4" x14ac:dyDescent="0.35">
      <c r="A12" s="43">
        <v>10</v>
      </c>
      <c r="B12" s="78">
        <v>3</v>
      </c>
      <c r="C12" s="78">
        <v>3.2</v>
      </c>
      <c r="D12" s="78">
        <v>3.7</v>
      </c>
    </row>
    <row r="13" spans="1:4" x14ac:dyDescent="0.35">
      <c r="A13" s="43">
        <v>11</v>
      </c>
      <c r="B13" s="78">
        <v>2.6</v>
      </c>
      <c r="C13" s="78">
        <v>2.6</v>
      </c>
      <c r="D13" s="78">
        <v>3.5</v>
      </c>
    </row>
    <row r="14" spans="1:4" x14ac:dyDescent="0.35">
      <c r="A14" s="43">
        <v>12</v>
      </c>
      <c r="B14" s="78">
        <v>2.4</v>
      </c>
      <c r="C14" s="78">
        <v>2.2999999999999998</v>
      </c>
      <c r="D14" s="78">
        <v>3.4</v>
      </c>
    </row>
    <row r="15" spans="1:4" x14ac:dyDescent="0.35">
      <c r="A15" s="43">
        <v>13</v>
      </c>
      <c r="B15" s="78">
        <v>2.4</v>
      </c>
      <c r="C15" s="78">
        <v>2.2000000000000002</v>
      </c>
      <c r="D15" s="78">
        <v>3.4</v>
      </c>
    </row>
    <row r="16" spans="1:4" x14ac:dyDescent="0.35">
      <c r="A16" s="43">
        <v>14</v>
      </c>
      <c r="B16" s="78">
        <v>2.6</v>
      </c>
      <c r="C16" s="78">
        <v>2.5</v>
      </c>
      <c r="D16" s="78">
        <v>3.5</v>
      </c>
    </row>
    <row r="17" spans="1:4" x14ac:dyDescent="0.35">
      <c r="A17" s="43">
        <v>15</v>
      </c>
      <c r="B17" s="78">
        <v>3.1</v>
      </c>
      <c r="C17" s="78">
        <v>3.4</v>
      </c>
      <c r="D17" s="78">
        <v>3.7</v>
      </c>
    </row>
    <row r="18" spans="1:4" x14ac:dyDescent="0.35">
      <c r="A18" s="43">
        <v>16</v>
      </c>
      <c r="B18" s="78">
        <v>4</v>
      </c>
      <c r="C18" s="78">
        <v>5.2</v>
      </c>
      <c r="D18" s="78">
        <v>4.0999999999999996</v>
      </c>
    </row>
    <row r="19" spans="1:4" x14ac:dyDescent="0.35">
      <c r="A19" s="43">
        <v>17</v>
      </c>
      <c r="B19" s="78">
        <v>5.6</v>
      </c>
      <c r="C19" s="78">
        <v>7.4</v>
      </c>
      <c r="D19" s="78">
        <v>4.7</v>
      </c>
    </row>
    <row r="20" spans="1:4" x14ac:dyDescent="0.35">
      <c r="A20" s="43">
        <v>18</v>
      </c>
      <c r="B20" s="78">
        <v>7.2</v>
      </c>
      <c r="C20" s="78">
        <v>9.6</v>
      </c>
      <c r="D20" s="78">
        <v>5.4</v>
      </c>
    </row>
    <row r="21" spans="1:4" x14ac:dyDescent="0.35">
      <c r="A21" s="43">
        <v>19</v>
      </c>
      <c r="B21" s="78">
        <v>8.5</v>
      </c>
      <c r="C21" s="78">
        <v>10</v>
      </c>
      <c r="D21" s="78">
        <v>5.8</v>
      </c>
    </row>
    <row r="22" spans="1:4" x14ac:dyDescent="0.35">
      <c r="A22" s="43">
        <v>20</v>
      </c>
      <c r="B22" s="78">
        <v>8.9</v>
      </c>
      <c r="C22" s="78">
        <v>10</v>
      </c>
      <c r="D22" s="78">
        <v>5.7</v>
      </c>
    </row>
    <row r="23" spans="1:4" x14ac:dyDescent="0.35">
      <c r="A23" s="43">
        <v>21</v>
      </c>
      <c r="B23" s="78">
        <v>7.8</v>
      </c>
      <c r="C23" s="78">
        <v>9.1999999999999993</v>
      </c>
      <c r="D23" s="78">
        <v>5.2</v>
      </c>
    </row>
    <row r="24" spans="1:4" x14ac:dyDescent="0.35">
      <c r="A24" s="43">
        <v>22</v>
      </c>
      <c r="B24" s="78">
        <v>6.2</v>
      </c>
      <c r="C24" s="78">
        <v>7.4</v>
      </c>
      <c r="D24" s="78">
        <v>4.5999999999999996</v>
      </c>
    </row>
    <row r="25" spans="1:4" x14ac:dyDescent="0.35">
      <c r="A25" s="43">
        <v>23</v>
      </c>
      <c r="B25" s="78">
        <v>5</v>
      </c>
      <c r="C25" s="78">
        <v>6</v>
      </c>
      <c r="D25" s="78">
        <v>4.0999999999999996</v>
      </c>
    </row>
    <row r="27" spans="1:4" x14ac:dyDescent="0.35">
      <c r="A27" s="3" t="s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00_Inputs</vt:lpstr>
      <vt:lpstr>01_Sizing</vt:lpstr>
      <vt:lpstr>02_Dispatch</vt:lpstr>
      <vt:lpstr>03_Revenue</vt:lpstr>
      <vt:lpstr>04_Container</vt:lpstr>
      <vt:lpstr>05_Schedule96</vt:lpstr>
      <vt:lpstr>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Jai_PC</cp:lastModifiedBy>
  <dcterms:created xsi:type="dcterms:W3CDTF">2026-07-16T16:41:50Z</dcterms:created>
  <dcterms:modified xsi:type="dcterms:W3CDTF">2026-07-16T16:41:54Z</dcterms:modified>
</cp:coreProperties>
</file>