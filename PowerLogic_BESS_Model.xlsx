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ai_PC\Desktop\BessArbitrageApp\"/>
    </mc:Choice>
  </mc:AlternateContent>
  <xr:revisionPtr revIDLastSave="0" documentId="13_ncr:1_{A563252C-5AA6-4728-B2BF-EDFAE15382D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00_Inputs" sheetId="1" r:id="rId1"/>
    <sheet name="01_Sizing" sheetId="2" r:id="rId2"/>
    <sheet name="02_Dispatch" sheetId="3" r:id="rId3"/>
    <sheet name="03_Revenue" sheetId="4" r:id="rId4"/>
    <sheet name="Prices" sheetId="5" r:id="rId5"/>
  </sheets>
  <calcPr calcId="191029"/>
</workbook>
</file>

<file path=xl/calcChain.xml><?xml version="1.0" encoding="utf-8"?>
<calcChain xmlns="http://schemas.openxmlformats.org/spreadsheetml/2006/main">
  <c r="B13" i="4" l="1"/>
  <c r="C44" i="3"/>
  <c r="D44" i="3" s="1"/>
  <c r="B44" i="3"/>
  <c r="F44" i="3" s="1"/>
  <c r="C43" i="3"/>
  <c r="D43" i="3" s="1"/>
  <c r="B43" i="3"/>
  <c r="F43" i="3" s="1"/>
  <c r="C42" i="3"/>
  <c r="D42" i="3" s="1"/>
  <c r="B42" i="3"/>
  <c r="F42" i="3" s="1"/>
  <c r="C41" i="3"/>
  <c r="D41" i="3" s="1"/>
  <c r="B41" i="3"/>
  <c r="G41" i="3" s="1"/>
  <c r="H41" i="3" s="1"/>
  <c r="C40" i="3"/>
  <c r="D40" i="3" s="1"/>
  <c r="B40" i="3"/>
  <c r="G40" i="3" s="1"/>
  <c r="H40" i="3" s="1"/>
  <c r="C39" i="3"/>
  <c r="D39" i="3" s="1"/>
  <c r="B39" i="3"/>
  <c r="F39" i="3" s="1"/>
  <c r="C38" i="3"/>
  <c r="D38" i="3" s="1"/>
  <c r="B38" i="3"/>
  <c r="F38" i="3" s="1"/>
  <c r="C37" i="3"/>
  <c r="D37" i="3" s="1"/>
  <c r="B37" i="3"/>
  <c r="E37" i="3" s="1"/>
  <c r="C36" i="3"/>
  <c r="D36" i="3" s="1"/>
  <c r="B36" i="3"/>
  <c r="I36" i="3" s="1"/>
  <c r="C35" i="3"/>
  <c r="D35" i="3" s="1"/>
  <c r="B35" i="3"/>
  <c r="C34" i="3"/>
  <c r="D34" i="3" s="1"/>
  <c r="B34" i="3"/>
  <c r="I34" i="3" s="1"/>
  <c r="D33" i="3"/>
  <c r="C33" i="3"/>
  <c r="B33" i="3"/>
  <c r="I33" i="3" s="1"/>
  <c r="C32" i="3"/>
  <c r="D32" i="3" s="1"/>
  <c r="B32" i="3"/>
  <c r="C31" i="3"/>
  <c r="D31" i="3" s="1"/>
  <c r="B31" i="3"/>
  <c r="C30" i="3"/>
  <c r="D30" i="3" s="1"/>
  <c r="B30" i="3"/>
  <c r="E30" i="3" s="1"/>
  <c r="C29" i="3"/>
  <c r="D29" i="3" s="1"/>
  <c r="B29" i="3"/>
  <c r="E29" i="3" s="1"/>
  <c r="I28" i="3"/>
  <c r="C28" i="3"/>
  <c r="D28" i="3" s="1"/>
  <c r="B28" i="3"/>
  <c r="E28" i="3" s="1"/>
  <c r="D27" i="3"/>
  <c r="C27" i="3"/>
  <c r="B27" i="3"/>
  <c r="C26" i="3"/>
  <c r="D26" i="3" s="1"/>
  <c r="B26" i="3"/>
  <c r="I26" i="3" s="1"/>
  <c r="D25" i="3"/>
  <c r="C25" i="3"/>
  <c r="B25" i="3"/>
  <c r="C24" i="3"/>
  <c r="D24" i="3" s="1"/>
  <c r="B24" i="3"/>
  <c r="I24" i="3" s="1"/>
  <c r="C23" i="3"/>
  <c r="D23" i="3" s="1"/>
  <c r="B23" i="3"/>
  <c r="C22" i="3"/>
  <c r="D22" i="3" s="1"/>
  <c r="B22" i="3"/>
  <c r="I22" i="3" s="1"/>
  <c r="I21" i="3"/>
  <c r="C21" i="3"/>
  <c r="D21" i="3" s="1"/>
  <c r="B21" i="3"/>
  <c r="E21" i="3" s="1"/>
  <c r="C41" i="2"/>
  <c r="E41" i="2" s="1"/>
  <c r="F41" i="2" s="1"/>
  <c r="B41" i="2"/>
  <c r="H41" i="2" s="1"/>
  <c r="H40" i="2"/>
  <c r="C40" i="2"/>
  <c r="E40" i="2" s="1"/>
  <c r="B40" i="2"/>
  <c r="C39" i="2"/>
  <c r="E39" i="2" s="1"/>
  <c r="F39" i="2" s="1"/>
  <c r="B39" i="2"/>
  <c r="H39" i="2" s="1"/>
  <c r="C38" i="2"/>
  <c r="E38" i="2" s="1"/>
  <c r="B38" i="2"/>
  <c r="H38" i="2" s="1"/>
  <c r="C37" i="2"/>
  <c r="E37" i="2" s="1"/>
  <c r="F37" i="2" s="1"/>
  <c r="B37" i="2"/>
  <c r="H37" i="2" s="1"/>
  <c r="H36" i="2"/>
  <c r="C36" i="2"/>
  <c r="E36" i="2" s="1"/>
  <c r="B36" i="2"/>
  <c r="C35" i="2"/>
  <c r="E35" i="2" s="1"/>
  <c r="F35" i="2" s="1"/>
  <c r="B35" i="2"/>
  <c r="H35" i="2" s="1"/>
  <c r="C34" i="2"/>
  <c r="E34" i="2" s="1"/>
  <c r="B34" i="2"/>
  <c r="F34" i="2" s="1"/>
  <c r="C33" i="2"/>
  <c r="E33" i="2" s="1"/>
  <c r="B33" i="2"/>
  <c r="F33" i="2" s="1"/>
  <c r="C32" i="2"/>
  <c r="E32" i="2" s="1"/>
  <c r="B32" i="2"/>
  <c r="F32" i="2" s="1"/>
  <c r="F31" i="2"/>
  <c r="C31" i="2"/>
  <c r="E31" i="2" s="1"/>
  <c r="B31" i="2"/>
  <c r="C30" i="2"/>
  <c r="E30" i="2" s="1"/>
  <c r="B30" i="2"/>
  <c r="F30" i="2" s="1"/>
  <c r="C29" i="2"/>
  <c r="E29" i="2" s="1"/>
  <c r="B29" i="2"/>
  <c r="F29" i="2" s="1"/>
  <c r="C28" i="2"/>
  <c r="E28" i="2" s="1"/>
  <c r="B28" i="2"/>
  <c r="F28" i="2" s="1"/>
  <c r="C27" i="2"/>
  <c r="E27" i="2" s="1"/>
  <c r="B27" i="2"/>
  <c r="F27" i="2" s="1"/>
  <c r="C26" i="2"/>
  <c r="E26" i="2" s="1"/>
  <c r="B26" i="2"/>
  <c r="F26" i="2" s="1"/>
  <c r="C25" i="2"/>
  <c r="E25" i="2" s="1"/>
  <c r="B25" i="2"/>
  <c r="F25" i="2" s="1"/>
  <c r="C24" i="2"/>
  <c r="E24" i="2" s="1"/>
  <c r="B24" i="2"/>
  <c r="F24" i="2" s="1"/>
  <c r="C23" i="2"/>
  <c r="E23" i="2" s="1"/>
  <c r="B23" i="2"/>
  <c r="F23" i="2" s="1"/>
  <c r="C22" i="2"/>
  <c r="E22" i="2" s="1"/>
  <c r="B22" i="2"/>
  <c r="F22" i="2" s="1"/>
  <c r="C21" i="2"/>
  <c r="E21" i="2" s="1"/>
  <c r="B21" i="2"/>
  <c r="F21" i="2" s="1"/>
  <c r="C20" i="2"/>
  <c r="E20" i="2" s="1"/>
  <c r="B20" i="2"/>
  <c r="F20" i="2" s="1"/>
  <c r="F19" i="2"/>
  <c r="C19" i="2"/>
  <c r="E19" i="2" s="1"/>
  <c r="B19" i="2"/>
  <c r="F18" i="2"/>
  <c r="C18" i="2"/>
  <c r="E18" i="2" s="1"/>
  <c r="B18" i="2"/>
  <c r="B20" i="1"/>
  <c r="C7" i="1"/>
  <c r="F31" i="3" l="1"/>
  <c r="E22" i="3"/>
  <c r="E26" i="3"/>
  <c r="M34" i="3"/>
  <c r="E24" i="3"/>
  <c r="E34" i="3"/>
  <c r="M22" i="3"/>
  <c r="M26" i="3"/>
  <c r="E33" i="3"/>
  <c r="M33" i="3" s="1"/>
  <c r="E36" i="3"/>
  <c r="F36" i="2"/>
  <c r="H23" i="2" s="1"/>
  <c r="F38" i="2"/>
  <c r="F40" i="2"/>
  <c r="I30" i="3"/>
  <c r="M30" i="3" s="1"/>
  <c r="G38" i="3"/>
  <c r="H38" i="3" s="1"/>
  <c r="L38" i="3" s="1"/>
  <c r="E40" i="3"/>
  <c r="E41" i="3"/>
  <c r="G42" i="3"/>
  <c r="H42" i="3" s="1"/>
  <c r="G43" i="3"/>
  <c r="H43" i="3" s="1"/>
  <c r="L43" i="3" s="1"/>
  <c r="M28" i="3"/>
  <c r="F32" i="3"/>
  <c r="H22" i="2"/>
  <c r="M24" i="3"/>
  <c r="M36" i="3"/>
  <c r="E38" i="3"/>
  <c r="E42" i="3"/>
  <c r="H27" i="2"/>
  <c r="F35" i="3"/>
  <c r="L41" i="3"/>
  <c r="C6" i="2"/>
  <c r="L40" i="3"/>
  <c r="H33" i="2"/>
  <c r="F27" i="3"/>
  <c r="M21" i="3"/>
  <c r="I23" i="3"/>
  <c r="E23" i="3"/>
  <c r="F25" i="3"/>
  <c r="F30" i="3"/>
  <c r="F36" i="3"/>
  <c r="E39" i="3"/>
  <c r="G39" i="3"/>
  <c r="H39" i="3" s="1"/>
  <c r="F41" i="3"/>
  <c r="F24" i="3"/>
  <c r="I27" i="3"/>
  <c r="E27" i="3"/>
  <c r="F29" i="3"/>
  <c r="I32" i="3"/>
  <c r="F34" i="3"/>
  <c r="I37" i="3"/>
  <c r="M37" i="3" s="1"/>
  <c r="F40" i="3"/>
  <c r="L42" i="3"/>
  <c r="F22" i="3"/>
  <c r="I25" i="3"/>
  <c r="F28" i="3"/>
  <c r="I31" i="3"/>
  <c r="E31" i="3"/>
  <c r="E32" i="3"/>
  <c r="F33" i="3"/>
  <c r="G44" i="3"/>
  <c r="H44" i="3" s="1"/>
  <c r="E44" i="3"/>
  <c r="F21" i="3"/>
  <c r="F23" i="3"/>
  <c r="E25" i="3"/>
  <c r="F26" i="3"/>
  <c r="I29" i="3"/>
  <c r="M29" i="3" s="1"/>
  <c r="I35" i="3"/>
  <c r="E35" i="3"/>
  <c r="F37" i="3"/>
  <c r="E43" i="3"/>
  <c r="M23" i="3" l="1"/>
  <c r="H29" i="2"/>
  <c r="H34" i="2"/>
  <c r="H20" i="2"/>
  <c r="H24" i="2"/>
  <c r="H30" i="2"/>
  <c r="H28" i="2"/>
  <c r="H21" i="2"/>
  <c r="H32" i="2"/>
  <c r="H26" i="2"/>
  <c r="H31" i="2"/>
  <c r="H18" i="2"/>
  <c r="M27" i="3"/>
  <c r="H25" i="2"/>
  <c r="H19" i="2"/>
  <c r="M25" i="3"/>
  <c r="M35" i="3"/>
  <c r="M31" i="3"/>
  <c r="L39" i="3"/>
  <c r="L44" i="3"/>
  <c r="M32" i="3"/>
  <c r="C7" i="2" l="1"/>
  <c r="C8" i="2" s="1"/>
  <c r="C13" i="2" s="1"/>
  <c r="G37" i="2"/>
  <c r="G38" i="2"/>
  <c r="G21" i="2"/>
  <c r="G26" i="2"/>
  <c r="G35" i="2"/>
  <c r="C10" i="2"/>
  <c r="C12" i="2" s="1"/>
  <c r="G40" i="2"/>
  <c r="G20" i="2"/>
  <c r="G41" i="2"/>
  <c r="G29" i="2"/>
  <c r="G30" i="2"/>
  <c r="G32" i="2"/>
  <c r="G18" i="2"/>
  <c r="G23" i="2"/>
  <c r="G39" i="2"/>
  <c r="C9" i="2"/>
  <c r="B13" i="1" s="1"/>
  <c r="C6" i="3" s="1"/>
  <c r="C7" i="3" s="1"/>
  <c r="G25" i="2"/>
  <c r="G19" i="2"/>
  <c r="G33" i="2"/>
  <c r="G24" i="2"/>
  <c r="G27" i="2"/>
  <c r="G31" i="2"/>
  <c r="G22" i="2"/>
  <c r="G28" i="2"/>
  <c r="G34" i="2"/>
  <c r="B14" i="4"/>
  <c r="B14" i="1"/>
  <c r="B6" i="4" s="1"/>
  <c r="C11" i="2"/>
  <c r="G36" i="2" l="1"/>
  <c r="G35" i="3"/>
  <c r="G32" i="3"/>
  <c r="G27" i="3"/>
  <c r="H27" i="3" s="1"/>
  <c r="G36" i="3"/>
  <c r="G31" i="3"/>
  <c r="G25" i="3"/>
  <c r="G37" i="3"/>
  <c r="H37" i="3" s="1"/>
  <c r="G29" i="3"/>
  <c r="H29" i="3" s="1"/>
  <c r="G33" i="3"/>
  <c r="G24" i="3"/>
  <c r="G23" i="3"/>
  <c r="H23" i="3" s="1"/>
  <c r="G21" i="3"/>
  <c r="H21" i="3" s="1"/>
  <c r="G22" i="3"/>
  <c r="H22" i="3" s="1"/>
  <c r="G34" i="3"/>
  <c r="G26" i="3"/>
  <c r="H26" i="3" s="1"/>
  <c r="G28" i="3"/>
  <c r="H28" i="3" s="1"/>
  <c r="G30" i="3"/>
  <c r="H30" i="3" s="1"/>
  <c r="M22" i="4"/>
  <c r="C22" i="4"/>
  <c r="H22" i="4"/>
  <c r="F22" i="4"/>
  <c r="G22" i="4"/>
  <c r="E22" i="4"/>
  <c r="J22" i="4"/>
  <c r="K22" i="4"/>
  <c r="L22" i="4"/>
  <c r="I22" i="4"/>
  <c r="N22" i="4"/>
  <c r="D22" i="4"/>
  <c r="L23" i="4"/>
  <c r="H23" i="4"/>
  <c r="D23" i="4"/>
  <c r="B24" i="4"/>
  <c r="K23" i="4"/>
  <c r="G23" i="4"/>
  <c r="C23" i="4"/>
  <c r="N23" i="4"/>
  <c r="J23" i="4"/>
  <c r="F23" i="4"/>
  <c r="M23" i="4"/>
  <c r="I23" i="4"/>
  <c r="E23" i="4"/>
  <c r="B16" i="4"/>
  <c r="L28" i="3" l="1"/>
  <c r="N28" i="3"/>
  <c r="L21" i="3"/>
  <c r="J21" i="3"/>
  <c r="N21" i="3"/>
  <c r="N29" i="3"/>
  <c r="L29" i="3"/>
  <c r="N26" i="3"/>
  <c r="L26" i="3"/>
  <c r="N23" i="3"/>
  <c r="L23" i="3"/>
  <c r="L37" i="3"/>
  <c r="N37" i="3"/>
  <c r="N27" i="3"/>
  <c r="L27" i="3"/>
  <c r="H24" i="3"/>
  <c r="H25" i="3" s="1"/>
  <c r="B25" i="4"/>
  <c r="N30" i="3"/>
  <c r="L30" i="3"/>
  <c r="N22" i="3"/>
  <c r="L22" i="3"/>
  <c r="N25" i="3" l="1"/>
  <c r="L25" i="3"/>
  <c r="J22" i="3"/>
  <c r="K21" i="3"/>
  <c r="L24" i="3"/>
  <c r="N24" i="3"/>
  <c r="H31" i="3"/>
  <c r="N31" i="3" l="1"/>
  <c r="L31" i="3"/>
  <c r="J23" i="3"/>
  <c r="K22" i="3"/>
  <c r="H32" i="3"/>
  <c r="K23" i="3" l="1"/>
  <c r="J24" i="3"/>
  <c r="L32" i="3"/>
  <c r="N32" i="3"/>
  <c r="H33" i="3"/>
  <c r="L33" i="3" l="1"/>
  <c r="N33" i="3"/>
  <c r="J25" i="3"/>
  <c r="K24" i="3"/>
  <c r="H34" i="3"/>
  <c r="J26" i="3" l="1"/>
  <c r="K25" i="3"/>
  <c r="N34" i="3"/>
  <c r="L34" i="3"/>
  <c r="H35" i="3"/>
  <c r="L35" i="3" l="1"/>
  <c r="N35" i="3"/>
  <c r="H36" i="3"/>
  <c r="J27" i="3"/>
  <c r="K26" i="3"/>
  <c r="J28" i="3" l="1"/>
  <c r="K27" i="3"/>
  <c r="L36" i="3"/>
  <c r="C10" i="3" s="1"/>
  <c r="N36" i="3"/>
  <c r="C8" i="3"/>
  <c r="C14" i="3" l="1"/>
  <c r="K28" i="3"/>
  <c r="J29" i="3"/>
  <c r="J30" i="3" l="1"/>
  <c r="K29" i="3"/>
  <c r="K30" i="3" l="1"/>
  <c r="J31" i="3"/>
  <c r="J32" i="3" l="1"/>
  <c r="K31" i="3"/>
  <c r="K32" i="3" l="1"/>
  <c r="J33" i="3"/>
  <c r="J34" i="3" l="1"/>
  <c r="K33" i="3"/>
  <c r="J35" i="3" l="1"/>
  <c r="K34" i="3"/>
  <c r="J36" i="3" l="1"/>
  <c r="K35" i="3"/>
  <c r="J37" i="3" l="1"/>
  <c r="K36" i="3"/>
  <c r="K37" i="3" l="1"/>
  <c r="I38" i="3"/>
  <c r="M38" i="3" l="1"/>
  <c r="N38" i="3"/>
  <c r="J38" i="3"/>
  <c r="K38" i="3" l="1"/>
  <c r="I39" i="3"/>
  <c r="M39" i="3" l="1"/>
  <c r="N39" i="3"/>
  <c r="J39" i="3"/>
  <c r="I40" i="3" l="1"/>
  <c r="J40" i="3" s="1"/>
  <c r="K39" i="3"/>
  <c r="K40" i="3" l="1"/>
  <c r="I41" i="3"/>
  <c r="M40" i="3"/>
  <c r="N40" i="3"/>
  <c r="M41" i="3" l="1"/>
  <c r="N41" i="3"/>
  <c r="J41" i="3"/>
  <c r="I42" i="3" l="1"/>
  <c r="J42" i="3" s="1"/>
  <c r="K41" i="3"/>
  <c r="K42" i="3" l="1"/>
  <c r="I43" i="3"/>
  <c r="M42" i="3"/>
  <c r="N42" i="3"/>
  <c r="M43" i="3" l="1"/>
  <c r="N43" i="3"/>
  <c r="J43" i="3"/>
  <c r="K43" i="3" l="1"/>
  <c r="I44" i="3"/>
  <c r="M44" i="3" l="1"/>
  <c r="C11" i="3" s="1"/>
  <c r="C12" i="3" s="1"/>
  <c r="C13" i="3" s="1"/>
  <c r="N44" i="3"/>
  <c r="C9" i="3"/>
  <c r="C15" i="3" s="1"/>
  <c r="C16" i="3" s="1"/>
  <c r="J44" i="3"/>
  <c r="K44" i="3" l="1"/>
  <c r="C17" i="3"/>
  <c r="L21" i="4"/>
  <c r="L24" i="4" s="1"/>
  <c r="H21" i="4"/>
  <c r="H24" i="4" s="1"/>
  <c r="D21" i="4"/>
  <c r="D24" i="4" s="1"/>
  <c r="K21" i="4"/>
  <c r="K24" i="4" s="1"/>
  <c r="G21" i="4"/>
  <c r="G24" i="4" s="1"/>
  <c r="C21" i="4"/>
  <c r="C24" i="4" s="1"/>
  <c r="N21" i="4"/>
  <c r="N24" i="4" s="1"/>
  <c r="J21" i="4"/>
  <c r="J24" i="4" s="1"/>
  <c r="F21" i="4"/>
  <c r="F24" i="4" s="1"/>
  <c r="M21" i="4"/>
  <c r="M24" i="4" s="1"/>
  <c r="I21" i="4"/>
  <c r="I24" i="4" s="1"/>
  <c r="E21" i="4"/>
  <c r="E24" i="4" s="1"/>
  <c r="B12" i="4"/>
  <c r="B15" i="4" s="1"/>
  <c r="B17" i="4" s="1"/>
  <c r="B5" i="4" l="1"/>
  <c r="B9" i="4"/>
  <c r="B8" i="4"/>
  <c r="C25" i="4"/>
  <c r="D25" i="4" s="1"/>
  <c r="E25" i="4" s="1"/>
  <c r="F25" i="4" s="1"/>
  <c r="G25" i="4" s="1"/>
  <c r="H25" i="4" s="1"/>
  <c r="I25" i="4" s="1"/>
  <c r="J25" i="4" s="1"/>
  <c r="K25" i="4" s="1"/>
  <c r="L25" i="4" s="1"/>
  <c r="M25" i="4" s="1"/>
  <c r="N25" i="4" s="1"/>
  <c r="B7" i="4" s="1"/>
</calcChain>
</file>

<file path=xl/sharedStrings.xml><?xml version="1.0" encoding="utf-8"?>
<sst xmlns="http://schemas.openxmlformats.org/spreadsheetml/2006/main" count="161" uniqueCount="158">
  <si>
    <t>POWERLOGIC BESS · INDIAN POWER MARKET</t>
  </si>
  <si>
    <t>Industrial BESS Model — MSEDCL (Maharashtra) — all-formula workbook</t>
  </si>
  <si>
    <t>Legend:  blue = input you edit · yellow = key levers · black = formula · green = link to another sheet.</t>
  </si>
  <si>
    <t>Mirrors github.com/jai2k701/powerlogic-bess (Modules 00 sizing · 01 dispatch · 02 revenue).</t>
  </si>
  <si>
    <t>MARKET</t>
  </si>
  <si>
    <t>Price day (1=Typical, 2=Summer, 3=Monsoon)</t>
  </si>
  <si>
    <t>Representative IEX DAM shapes on the Prices sheet — assumptions, not live data</t>
  </si>
  <si>
    <t>BATTERY</t>
  </si>
  <si>
    <t>Power — manual (MW)</t>
  </si>
  <si>
    <t>Energy — manual (MWh)</t>
  </si>
  <si>
    <t>Use Module-00 suggested size? (1=yes, 0=manual)</t>
  </si>
  <si>
    <t>1 → dispatch &amp; revenue take P/E from the 01_Sizing sheet</t>
  </si>
  <si>
    <t>Round-trip efficiency</t>
  </si>
  <si>
    <t>Losses applied on discharge</t>
  </si>
  <si>
    <t>Power used by model (MW)</t>
  </si>
  <si>
    <t>Feeds 02_Dispatch and 03_Revenue</t>
  </si>
  <si>
    <t>Energy used by model (MWh)</t>
  </si>
  <si>
    <t>MSEDCL TARIFF — HT INDUSTRIAL (FY2026-27 ORDER)</t>
  </si>
  <si>
    <t>Base energy charge (₹/kWh)</t>
  </si>
  <si>
    <t>Source: MSEDCL tariff order via powerlogic DB (user)</t>
  </si>
  <si>
    <t>ToD peak multiplier (17:00–24:00)</t>
  </si>
  <si>
    <t>ToD solar multiplier (09:00–17:00)</t>
  </si>
  <si>
    <t>Apr–Sep −15%; set 0.75 for Oct–Mar (−25%)</t>
  </si>
  <si>
    <t>Open-access adders (₹/kWh)</t>
  </si>
  <si>
    <t>33 kV: STU 0.52 + wheeling 0.81 + CSS 2.07 + green cess 0.25. 132/220 kV ≈ 2.84. 7.5% wheeling loss in kind not modelled</t>
  </si>
  <si>
    <t>Peak tariff (₹/kWh)</t>
  </si>
  <si>
    <t>Derived — the discharge value in the peak window</t>
  </si>
  <si>
    <t>SIZING (MODULE 00)</t>
  </si>
  <si>
    <t>Contract demand (MW)</t>
  </si>
  <si>
    <t>Night load 00–06 (MW)</t>
  </si>
  <si>
    <t>Day load 06–17 (MW)</t>
  </si>
  <si>
    <t>Evening load 17–24 (MW)</t>
  </si>
  <si>
    <t>MSEDCL peak-window load — the replacement target</t>
  </si>
  <si>
    <t>Peak coverage target</t>
  </si>
  <si>
    <t>Share of 17–24 h consumption the BESS should serve</t>
  </si>
  <si>
    <t>Usable depth of discharge</t>
  </si>
  <si>
    <t>End-of-life degradation margin</t>
  </si>
  <si>
    <t>Oversizing so the pack still covers peak at end of life</t>
  </si>
  <si>
    <t>FINANCIALS</t>
  </si>
  <si>
    <t>Capex (₹ Cr per MWh)</t>
  </si>
  <si>
    <t>O&amp;M (% of capex per year)</t>
  </si>
  <si>
    <t>Operating days per year</t>
  </si>
  <si>
    <t>Battery degradation per year</t>
  </si>
  <si>
    <t>Discount rate (for NPV)</t>
  </si>
  <si>
    <t>OTHER VALUE STREAMS (MODULE 02)</t>
  </si>
  <si>
    <t>Billing demand shaved (kVA)</t>
  </si>
  <si>
    <t>Demand charge (₹/kVA/month)</t>
  </si>
  <si>
    <t>Check your MSEDCL bill for the exact category rate</t>
  </si>
  <si>
    <t>Outage cover shifted from DG (hrs/yr)</t>
  </si>
  <si>
    <t>DG generation cost (₹/kWh)</t>
  </si>
  <si>
    <t>MODULE 00 · SIZING</t>
  </si>
  <si>
    <t>BESS size to replace MSEDCL peak-window (17:00–24:00) consumption</t>
  </si>
  <si>
    <t>The battery must serve the 7-hour peak AND recharge through contract-demand headroom in the other 17 hours.</t>
  </si>
  <si>
    <t>RESULTS</t>
  </si>
  <si>
    <t>Peak energy at 100% coverage (MWh)</t>
  </si>
  <si>
    <t>Σ min(load, contract) over 17–24 h</t>
  </si>
  <si>
    <t>Recharge headroom available (MWh)</t>
  </si>
  <si>
    <t>Σ min(contract − load, BESS power at target coverage) over non-peak hours</t>
  </si>
  <si>
    <t>Max feasible coverage</t>
  </si>
  <si>
    <t>Coverage whose recharge need (usable ÷ RTE) fits the headroom</t>
  </si>
  <si>
    <t>Suggested power (MW)</t>
  </si>
  <si>
    <t>Max BESS output in the peak window, rounded up to 0.5 MW</t>
  </si>
  <si>
    <t>Suggested energy — nameplate (MWh)</t>
  </si>
  <si>
    <t>Usable ÷ DoD ÷ (1 − EoL margin), rounded up to 1 MWh</t>
  </si>
  <si>
    <t>Duration (h)</t>
  </si>
  <si>
    <t>vs the 7-h MSEDCL peak window</t>
  </si>
  <si>
    <t>Indicative capex (₹ Cr)</t>
  </si>
  <si>
    <t>+5% contingency</t>
  </si>
  <si>
    <t>Feasibility check</t>
  </si>
  <si>
    <t>24-HOUR LOAD PROFILE</t>
  </si>
  <si>
    <t>Blue Override column: type a value to shape an hour individually; leave blank to use the block load.</t>
  </si>
  <si>
    <t>Hour</t>
  </si>
  <si>
    <t>Window</t>
  </si>
  <si>
    <t>Block load (MW)</t>
  </si>
  <si>
    <t>Override (MW)</t>
  </si>
  <si>
    <t>Load (MW)</t>
  </si>
  <si>
    <t>Servable @100% (MW)</t>
  </si>
  <si>
    <t>Served by BESS (MW)</t>
  </si>
  <si>
    <t>Recharge headroom (MW)</t>
  </si>
  <si>
    <t>Notes</t>
  </si>
  <si>
    <t>Headroom is evaluated at the target-coverage power (one pass); the app scans coverage levels — results match on typical profiles.</t>
  </si>
  <si>
    <t>MODULE 01 · DISPATCH</t>
  </si>
  <si>
    <t>Charge on the exchange, discharge behind the meter against MSEDCL ToD</t>
  </si>
  <si>
    <t>Charges the cheapest non-peak landed hours — only while landed cost &lt; RTE × peak tariff (marginal profitability) — then discharges through the 17–24 h peak. Single daily cycle: MSEDCL has one evening peak.</t>
  </si>
  <si>
    <t>DAY RESULT</t>
  </si>
  <si>
    <t>Deliverable energy target (MWh)</t>
  </si>
  <si>
    <t>SoC the 7-hour peak window can actually discharge</t>
  </si>
  <si>
    <t>Charge hours needed</t>
  </si>
  <si>
    <t>Energy drawn from exchange (MWh)</t>
  </si>
  <si>
    <t>Energy delivered in peak (MWh)</t>
  </si>
  <si>
    <t>Charge cost (₹/day)</t>
  </si>
  <si>
    <t>landed, incl. open access</t>
  </si>
  <si>
    <t>Avoided tariff value (₹/day)</t>
  </si>
  <si>
    <t>Net saving per day (₹ lakh)</t>
  </si>
  <si>
    <t>Net saving per year (₹ Cr)</t>
  </si>
  <si>
    <t>feeds 03_Revenue arbitrage line</t>
  </si>
  <si>
    <t>Avg charge cost (₹/kWh)</t>
  </si>
  <si>
    <t>Avg discharge value (₹/kWh)</t>
  </si>
  <si>
    <t>Effective spread after losses (₹/kWh)</t>
  </si>
  <si>
    <t>per kWh delivered</t>
  </si>
  <si>
    <t>End-of-day state of charge</t>
  </si>
  <si>
    <t>≈0% means nothing bought that could not be sold</t>
  </si>
  <si>
    <t>IEX MCP (₹/kWh)</t>
  </si>
  <si>
    <t>Landed (₹/kWh)</t>
  </si>
  <si>
    <t>ToD tariff (₹/kWh)</t>
  </si>
  <si>
    <t>Charge rank</t>
  </si>
  <si>
    <t>Charge hour?</t>
  </si>
  <si>
    <t>Charge (MW)</t>
  </si>
  <si>
    <t>Discharge (MW)</t>
  </si>
  <si>
    <t>SoC (MWh)</t>
  </si>
  <si>
    <t>SoC (%)</t>
  </si>
  <si>
    <t>Charge cost (₹)</t>
  </si>
  <si>
    <t>Avoided (₹)</t>
  </si>
  <si>
    <t>Action</t>
  </si>
  <si>
    <t>Simplification vs the app: the app pairs marginal charge/discharge hours and can add a small night→morning cycle; this sheet charges the N cheapest profitable non-peak hours for the single evening peak. Difference is typically &lt;5%.</t>
  </si>
  <si>
    <t>MODULE 02 · REVENUE MODEL</t>
  </si>
  <si>
    <t>The savings case on one slide — value stack, payback, 12-year IRR</t>
  </si>
  <si>
    <t>HEADLINE</t>
  </si>
  <si>
    <t>Annual savings, year 1 (₹ Cr)</t>
  </si>
  <si>
    <t>Investment (₹ Cr)</t>
  </si>
  <si>
    <t>capex incl. 5% contingency</t>
  </si>
  <si>
    <t>Payback year</t>
  </si>
  <si>
    <t>Project IRR (12-yr)</t>
  </si>
  <si>
    <t>NPV at discount rate (₹ Cr)</t>
  </si>
  <si>
    <t>VALUE STACK — YEAR 1 (₹ Cr / yr)</t>
  </si>
  <si>
    <t xml:space="preserve">  Exchange arbitrage vs ToD tariff</t>
  </si>
  <si>
    <t xml:space="preserve">  Demand charge reduction</t>
  </si>
  <si>
    <t>kVA shaved × ₹/kVA/mo × 12</t>
  </si>
  <si>
    <t xml:space="preserve">  Diesel backup displaced</t>
  </si>
  <si>
    <t>DG hours × MW × (DG cost − grid tariff)</t>
  </si>
  <si>
    <t>Gross savings</t>
  </si>
  <si>
    <t>Less: O&amp;M year 1</t>
  </si>
  <si>
    <t>Net savings year 1</t>
  </si>
  <si>
    <t>12-YEAR CASH FLOW (₹ Cr)</t>
  </si>
  <si>
    <t>Line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</si>
  <si>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</si>
  <si>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</si>
  <si>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</si>
  <si>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</si>
  <si>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</si>
  <si>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</si>
  <si>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</si>
  <si>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</si>
  <si>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</si>
  <si>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</si>
  <si>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</si>
  <si>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</si>
  <si>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</si>
  <si>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Arbitrage (degrades with battery)</t>
  </si>
  <si>
    <t>Demand charge + DG displacement</t>
  </si>
  <si>
    <t>O&amp;M (escalates 5%/yr)</t>
  </si>
  <si>
    <t>Net cash flow</t>
  </si>
  <si>
    <t>Cumulative cash</t>
  </si>
  <si>
    <t>Fixed streams held flat; arbitrage degrades with the battery; O&amp;M escalates 5%/yr — same treatment as the app.</t>
  </si>
  <si>
    <t>Typical day (DAM)</t>
  </si>
  <si>
    <t>Summer high-demand day</t>
  </si>
  <si>
    <t>Monsoon / flat day</t>
  </si>
  <si>
    <t>Representative IEX day-ahead price shapes (₹/kWh) — hardcoded assumptions, not live market data. Source: PowerLogic BESS app (github.com/jai2k701/powerlogic-bess).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</si>
</sst>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&quot; MW&quot;"/>
    <numFmt numFmtId="165" formatCode="#,##0&quot; MWh&quot;"/>
    <numFmt numFmtId="166" formatCode="&quot;₹&quot;#,##0.00"/>
    <numFmt numFmtId="167" formatCode="0.00&quot;x&quot;"/>
    <numFmt numFmtId="168" formatCode="&quot;₹&quot;0.00&quot; Cr&quot;"/>
    <numFmt numFmtId="169" formatCode="0.0%"/>
    <numFmt numFmtId="170" formatCode="&quot;₹&quot;#,##0"/>
    <numFmt numFmtId="171" formatCode="#,##0.0&quot; MWh&quot;"/>
    <numFmt numFmtId="172" formatCode="0.0&quot; h&quot;"/>
    <numFmt numFmtId="173" formatCode="&quot;₹&quot;#,##0.0&quot; Cr&quot;;\(&quot;₹&quot;#,##0.0&quot; Cr&quot;\)"/>
    <numFmt numFmtId="174" formatCode="00"/>
    <numFmt numFmtId="175" formatCode="&quot;₹&quot;#,##0.00&quot; L&quot;"/>
  </numFmts>
  <fonts count="9" x14ac:knownFonts="1">
    <font>
      <sz val="11"/>
      <color theme="1"/>
      <name val="Calibri"/>
      <family val="2"/>
      <scheme val="minor"/>
    </font>
    <font>
      <b/>
      <sz val="8"/>
      <color rgb="FFE2703A"/>
      <name val="Arial"/>
    </font>
    <font>
      <b/>
      <sz val="13"/>
      <color rgb="FF1C2B3A"/>
      <name val="Arial"/>
    </font>
    <font>
      <i/>
      <sz val="8"/>
      <color rgb="FF5A6B7D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DE4EA"/>
      </patternFill>
    </fill>
    <fill>
      <patternFill patternType="solid">
        <fgColor rgb="FF1C2B3A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7C3CC"/>
      </left>
      <right style="thin">
        <color rgb="FFB7C3CC"/>
      </right>
      <top style="thin">
        <color rgb="FFB7C3CC"/>
      </top>
      <bottom style="thin">
        <color rgb="FFB7C3CC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6" fillId="3" borderId="0" xfId="0" applyFont="1" applyFill="1"/>
    <xf numFmtId="0" fontId="0" fillId="2" borderId="0" xfId="0" applyFill="1"/>
    <xf numFmtId="0" fontId="5" fillId="0" borderId="0" xfId="0" applyFont="1"/>
    <xf numFmtId="1" fontId="7" fillId="4" borderId="1" xfId="0" applyNumberFormat="1" applyFont="1" applyFill="1" applyBorder="1"/>
    <xf numFmtId="0" fontId="8" fillId="0" borderId="0" xfId="0" applyFont="1"/>
    <xf numFmtId="164" fontId="7" fillId="0" borderId="1" xfId="0" applyNumberFormat="1" applyFont="1" applyBorder="1"/>
    <xf numFmtId="165" fontId="7" fillId="0" borderId="1" xfId="0" applyNumberFormat="1" applyFont="1" applyBorder="1"/>
    <xf numFmtId="9" fontId="7" fillId="0" borderId="1" xfId="0" applyNumberFormat="1" applyFont="1" applyBorder="1"/>
    <xf numFmtId="164" fontId="8" fillId="0" borderId="1" xfId="0" applyNumberFormat="1" applyFont="1" applyBorder="1"/>
    <xf numFmtId="165" fontId="8" fillId="0" borderId="1" xfId="0" applyNumberFormat="1" applyFont="1" applyBorder="1"/>
    <xf numFmtId="166" fontId="7" fillId="0" borderId="1" xfId="0" applyNumberFormat="1" applyFont="1" applyBorder="1"/>
    <xf numFmtId="167" fontId="7" fillId="0" borderId="1" xfId="0" applyNumberFormat="1" applyFont="1" applyBorder="1"/>
    <xf numFmtId="167" fontId="7" fillId="4" borderId="1" xfId="0" applyNumberFormat="1" applyFont="1" applyFill="1" applyBorder="1"/>
    <xf numFmtId="166" fontId="5" fillId="0" borderId="1" xfId="0" applyNumberFormat="1" applyFont="1" applyBorder="1"/>
    <xf numFmtId="164" fontId="7" fillId="4" borderId="1" xfId="0" applyNumberFormat="1" applyFont="1" applyFill="1" applyBorder="1"/>
    <xf numFmtId="168" fontId="7" fillId="4" borderId="1" xfId="0" applyNumberFormat="1" applyFont="1" applyFill="1" applyBorder="1"/>
    <xf numFmtId="169" fontId="7" fillId="0" borderId="1" xfId="0" applyNumberFormat="1" applyFont="1" applyBorder="1"/>
    <xf numFmtId="1" fontId="7" fillId="0" borderId="1" xfId="0" applyNumberFormat="1" applyFont="1" applyBorder="1"/>
    <xf numFmtId="3" fontId="7" fillId="0" borderId="1" xfId="0" applyNumberFormat="1" applyFont="1" applyBorder="1"/>
    <xf numFmtId="170" fontId="7" fillId="0" borderId="1" xfId="0" applyNumberFormat="1" applyFont="1" applyBorder="1"/>
    <xf numFmtId="171" fontId="5" fillId="0" borderId="0" xfId="0" applyNumberFormat="1" applyFont="1"/>
    <xf numFmtId="9" fontId="4" fillId="4" borderId="0" xfId="0" applyNumberFormat="1" applyFont="1" applyFill="1"/>
    <xf numFmtId="164" fontId="4" fillId="4" borderId="0" xfId="0" applyNumberFormat="1" applyFont="1" applyFill="1"/>
    <xf numFmtId="165" fontId="4" fillId="4" borderId="0" xfId="0" applyNumberFormat="1" applyFont="1" applyFill="1"/>
    <xf numFmtId="172" fontId="5" fillId="0" borderId="0" xfId="0" applyNumberFormat="1" applyFont="1"/>
    <xf numFmtId="173" fontId="5" fillId="0" borderId="0" xfId="0" applyNumberFormat="1" applyFont="1"/>
    <xf numFmtId="0" fontId="4" fillId="4" borderId="0" xfId="0" applyFont="1" applyFill="1"/>
    <xf numFmtId="0" fontId="4" fillId="0" borderId="0" xfId="0" applyFont="1"/>
    <xf numFmtId="0" fontId="6" fillId="3" borderId="1" xfId="0" applyFont="1" applyFill="1" applyBorder="1" applyAlignment="1">
      <alignment horizontal="center" wrapText="1"/>
    </xf>
    <xf numFmtId="17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" fontId="8" fillId="0" borderId="1" xfId="0" applyNumberFormat="1" applyFont="1" applyBorder="1"/>
    <xf numFmtId="4" fontId="7" fillId="0" borderId="1" xfId="0" applyNumberFormat="1" applyFont="1" applyBorder="1"/>
    <xf numFmtId="4" fontId="5" fillId="0" borderId="1" xfId="0" applyNumberFormat="1" applyFont="1" applyBorder="1"/>
    <xf numFmtId="1" fontId="5" fillId="0" borderId="0" xfId="0" applyNumberFormat="1" applyFont="1"/>
    <xf numFmtId="170" fontId="5" fillId="0" borderId="0" xfId="0" applyNumberFormat="1" applyFont="1"/>
    <xf numFmtId="175" fontId="4" fillId="4" borderId="0" xfId="0" applyNumberFormat="1" applyFont="1" applyFill="1"/>
    <xf numFmtId="173" fontId="4" fillId="4" borderId="0" xfId="0" applyNumberFormat="1" applyFont="1" applyFill="1"/>
    <xf numFmtId="166" fontId="5" fillId="0" borderId="0" xfId="0" applyNumberFormat="1" applyFont="1"/>
    <xf numFmtId="9" fontId="5" fillId="0" borderId="0" xfId="0" applyNumberFormat="1" applyFont="1"/>
    <xf numFmtId="166" fontId="8" fillId="0" borderId="1" xfId="0" applyNumberFormat="1" applyFont="1" applyBorder="1"/>
    <xf numFmtId="1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170" fontId="5" fillId="0" borderId="1" xfId="0" applyNumberFormat="1" applyFont="1" applyBorder="1"/>
    <xf numFmtId="169" fontId="4" fillId="0" borderId="0" xfId="0" applyNumberFormat="1" applyFont="1"/>
    <xf numFmtId="173" fontId="8" fillId="0" borderId="0" xfId="0" applyNumberFormat="1" applyFont="1"/>
    <xf numFmtId="173" fontId="4" fillId="0" borderId="0" xfId="0" applyNumberFormat="1" applyFont="1"/>
    <xf numFmtId="173" fontId="8" fillId="0" borderId="1" xfId="0" applyNumberFormat="1" applyFont="1" applyBorder="1"/>
    <xf numFmtId="173" fontId="5" fillId="0" borderId="1" xfId="0" applyNumberFormat="1" applyFont="1" applyBorder="1"/>
    <xf numFmtId="173" fontId="4" fillId="0" borderId="1" xfId="0" applyNumberFormat="1" applyFont="1" applyBorder="1"/>
    <xf numFmtId="166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showGridLines="0" tabSelected="1" workbookViewId="0"/>
  </sheetViews>
  <sheetFormatPr defaultRowHeight="14.5" x14ac:dyDescent="0.35"/>
  <cols>
    <col min="1" max="1" width="36" customWidth="1"/>
    <col min="2" max="2" width="14" customWidth="1"/>
    <col min="3" max="3" width="24" customWidth="1"/>
    <col min="4" max="4" width="46" customWidth="1"/>
  </cols>
  <sheetData>
    <row r="1" spans="1:4" x14ac:dyDescent="0.35">
      <c r="A1" s="1" t="s">
        <v>0</v>
      </c>
    </row>
    <row r="2" spans="1:4" ht="16.5" x14ac:dyDescent="0.35">
      <c r="A2" s="2" t="s">
        <v>1</v>
      </c>
    </row>
    <row r="3" spans="1:4" x14ac:dyDescent="0.35">
      <c r="A3" s="3" t="s">
        <v>2</v>
      </c>
    </row>
    <row r="4" spans="1:4" x14ac:dyDescent="0.35">
      <c r="A4" s="3" t="s">
        <v>3</v>
      </c>
    </row>
    <row r="6" spans="1:4" x14ac:dyDescent="0.35">
      <c r="A6" s="4" t="s">
        <v>4</v>
      </c>
      <c r="B6" s="5"/>
      <c r="C6" s="5"/>
      <c r="D6" s="5"/>
    </row>
    <row r="7" spans="1:4" x14ac:dyDescent="0.35">
      <c r="A7" s="6" t="s">
        <v>5</v>
      </c>
      <c r="B7" s="7">
        <v>1</v>
      </c>
      <c r="C7" s="8" t="str">
        <f>INDEX(Prices!$B$1:$D$1,1,B7)</f>
        <v>Typical day (DAM)</v>
      </c>
      <c r="D7" s="3" t="s">
        <v>6</v>
      </c>
    </row>
    <row r="8" spans="1:4" x14ac:dyDescent="0.35">
      <c r="A8" s="4" t="s">
        <v>7</v>
      </c>
      <c r="B8" s="5"/>
      <c r="C8" s="5"/>
      <c r="D8" s="5"/>
    </row>
    <row r="9" spans="1:4" x14ac:dyDescent="0.35">
      <c r="A9" s="6" t="s">
        <v>8</v>
      </c>
      <c r="B9" s="9">
        <v>10</v>
      </c>
    </row>
    <row r="10" spans="1:4" x14ac:dyDescent="0.35">
      <c r="A10" s="6" t="s">
        <v>9</v>
      </c>
      <c r="B10" s="10">
        <v>20</v>
      </c>
    </row>
    <row r="11" spans="1:4" x14ac:dyDescent="0.35">
      <c r="A11" s="6" t="s">
        <v>10</v>
      </c>
      <c r="B11" s="7">
        <v>1</v>
      </c>
      <c r="D11" s="3" t="s">
        <v>11</v>
      </c>
    </row>
    <row r="12" spans="1:4" x14ac:dyDescent="0.35">
      <c r="A12" s="6" t="s">
        <v>12</v>
      </c>
      <c r="B12" s="11">
        <v>0.88</v>
      </c>
      <c r="D12" s="3" t="s">
        <v>13</v>
      </c>
    </row>
    <row r="13" spans="1:4" x14ac:dyDescent="0.35">
      <c r="A13" s="6" t="s">
        <v>14</v>
      </c>
      <c r="B13" s="12">
        <f>IF('00_Inputs'!$B$11=1,'01_Sizing'!$C$9,'00_Inputs'!$B$9)</f>
        <v>8</v>
      </c>
      <c r="D13" s="3" t="s">
        <v>15</v>
      </c>
    </row>
    <row r="14" spans="1:4" x14ac:dyDescent="0.35">
      <c r="A14" s="6" t="s">
        <v>16</v>
      </c>
      <c r="B14" s="13">
        <f>IF('00_Inputs'!$B$11=1,'01_Sizing'!$C$10,'00_Inputs'!$B$10)</f>
        <v>69</v>
      </c>
    </row>
    <row r="15" spans="1:4" x14ac:dyDescent="0.35">
      <c r="A15" s="4" t="s">
        <v>17</v>
      </c>
      <c r="B15" s="5"/>
      <c r="C15" s="5"/>
      <c r="D15" s="5"/>
    </row>
    <row r="16" spans="1:4" x14ac:dyDescent="0.35">
      <c r="A16" s="6" t="s">
        <v>18</v>
      </c>
      <c r="B16" s="14">
        <v>8.44</v>
      </c>
      <c r="D16" s="3" t="s">
        <v>19</v>
      </c>
    </row>
    <row r="17" spans="1:4" x14ac:dyDescent="0.35">
      <c r="A17" s="6" t="s">
        <v>20</v>
      </c>
      <c r="B17" s="15">
        <v>1.2</v>
      </c>
    </row>
    <row r="18" spans="1:4" x14ac:dyDescent="0.35">
      <c r="A18" s="6" t="s">
        <v>21</v>
      </c>
      <c r="B18" s="16">
        <v>0.85</v>
      </c>
      <c r="D18" s="3" t="s">
        <v>22</v>
      </c>
    </row>
    <row r="19" spans="1:4" x14ac:dyDescent="0.35">
      <c r="A19" s="6" t="s">
        <v>23</v>
      </c>
      <c r="B19" s="14">
        <v>3.65</v>
      </c>
      <c r="D19" s="3" t="s">
        <v>24</v>
      </c>
    </row>
    <row r="20" spans="1:4" x14ac:dyDescent="0.35">
      <c r="A20" s="6" t="s">
        <v>25</v>
      </c>
      <c r="B20" s="17">
        <f>'00_Inputs'!$B$16*'00_Inputs'!$B$17</f>
        <v>10.127999999999998</v>
      </c>
      <c r="D20" s="3" t="s">
        <v>26</v>
      </c>
    </row>
    <row r="21" spans="1:4" x14ac:dyDescent="0.35">
      <c r="A21" s="4" t="s">
        <v>27</v>
      </c>
      <c r="B21" s="5"/>
      <c r="C21" s="5"/>
      <c r="D21" s="5"/>
    </row>
    <row r="22" spans="1:4" x14ac:dyDescent="0.35">
      <c r="A22" s="6" t="s">
        <v>28</v>
      </c>
      <c r="B22" s="18">
        <v>10</v>
      </c>
    </row>
    <row r="23" spans="1:4" x14ac:dyDescent="0.35">
      <c r="A23" s="6" t="s">
        <v>29</v>
      </c>
      <c r="B23" s="9">
        <v>5</v>
      </c>
    </row>
    <row r="24" spans="1:4" x14ac:dyDescent="0.35">
      <c r="A24" s="6" t="s">
        <v>30</v>
      </c>
      <c r="B24" s="9">
        <v>7</v>
      </c>
    </row>
    <row r="25" spans="1:4" x14ac:dyDescent="0.35">
      <c r="A25" s="6" t="s">
        <v>31</v>
      </c>
      <c r="B25" s="18">
        <v>9</v>
      </c>
      <c r="D25" s="3" t="s">
        <v>32</v>
      </c>
    </row>
    <row r="26" spans="1:4" x14ac:dyDescent="0.35">
      <c r="A26" s="6" t="s">
        <v>33</v>
      </c>
      <c r="B26" s="11">
        <v>1</v>
      </c>
      <c r="D26" s="3" t="s">
        <v>34</v>
      </c>
    </row>
    <row r="27" spans="1:4" x14ac:dyDescent="0.35">
      <c r="A27" s="6" t="s">
        <v>35</v>
      </c>
      <c r="B27" s="11">
        <v>0.9</v>
      </c>
    </row>
    <row r="28" spans="1:4" x14ac:dyDescent="0.35">
      <c r="A28" s="6" t="s">
        <v>36</v>
      </c>
      <c r="B28" s="11">
        <v>0.1</v>
      </c>
      <c r="D28" s="3" t="s">
        <v>37</v>
      </c>
    </row>
    <row r="29" spans="1:4" x14ac:dyDescent="0.35">
      <c r="A29" s="4" t="s">
        <v>38</v>
      </c>
      <c r="B29" s="5"/>
      <c r="C29" s="5"/>
      <c r="D29" s="5"/>
    </row>
    <row r="30" spans="1:4" x14ac:dyDescent="0.35">
      <c r="A30" s="6" t="s">
        <v>39</v>
      </c>
      <c r="B30" s="19">
        <v>1.1000000000000001</v>
      </c>
    </row>
    <row r="31" spans="1:4" x14ac:dyDescent="0.35">
      <c r="A31" s="6" t="s">
        <v>40</v>
      </c>
      <c r="B31" s="20">
        <v>1.4999999999999999E-2</v>
      </c>
    </row>
    <row r="32" spans="1:4" x14ac:dyDescent="0.35">
      <c r="A32" s="6" t="s">
        <v>41</v>
      </c>
      <c r="B32" s="21">
        <v>330</v>
      </c>
    </row>
    <row r="33" spans="1:4" x14ac:dyDescent="0.35">
      <c r="A33" s="6" t="s">
        <v>42</v>
      </c>
      <c r="B33" s="20">
        <v>0.02</v>
      </c>
    </row>
    <row r="34" spans="1:4" x14ac:dyDescent="0.35">
      <c r="A34" s="6" t="s">
        <v>43</v>
      </c>
      <c r="B34" s="11">
        <v>0.12</v>
      </c>
    </row>
    <row r="35" spans="1:4" x14ac:dyDescent="0.35">
      <c r="A35" s="4" t="s">
        <v>44</v>
      </c>
      <c r="B35" s="5"/>
      <c r="C35" s="5"/>
      <c r="D35" s="5"/>
    </row>
    <row r="36" spans="1:4" x14ac:dyDescent="0.35">
      <c r="A36" s="6" t="s">
        <v>45</v>
      </c>
      <c r="B36" s="22">
        <v>5000</v>
      </c>
    </row>
    <row r="37" spans="1:4" x14ac:dyDescent="0.35">
      <c r="A37" s="6" t="s">
        <v>46</v>
      </c>
      <c r="B37" s="23">
        <v>450</v>
      </c>
      <c r="D37" s="3" t="s">
        <v>47</v>
      </c>
    </row>
    <row r="38" spans="1:4" x14ac:dyDescent="0.35">
      <c r="A38" s="6" t="s">
        <v>48</v>
      </c>
      <c r="B38" s="21">
        <v>100</v>
      </c>
    </row>
    <row r="39" spans="1:4" x14ac:dyDescent="0.35">
      <c r="A39" s="6" t="s">
        <v>49</v>
      </c>
      <c r="B39" s="14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"/>
  <sheetViews>
    <sheetView showGridLines="0" workbookViewId="0"/>
  </sheetViews>
  <sheetFormatPr defaultRowHeight="14.5" x14ac:dyDescent="0.35"/>
  <cols>
    <col min="1" max="1" width="7" customWidth="1"/>
    <col min="2" max="2" width="9" customWidth="1"/>
    <col min="3" max="3" width="15" customWidth="1"/>
    <col min="4" max="4" width="13" customWidth="1"/>
    <col min="5" max="5" width="12" customWidth="1"/>
    <col min="6" max="7" width="15" customWidth="1"/>
    <col min="8" max="8" width="17" customWidth="1"/>
    <col min="9" max="9" width="44" customWidth="1"/>
  </cols>
  <sheetData>
    <row r="1" spans="1:9" x14ac:dyDescent="0.35">
      <c r="A1" s="1" t="s">
        <v>50</v>
      </c>
    </row>
    <row r="2" spans="1:9" ht="16.5" x14ac:dyDescent="0.35">
      <c r="A2" s="2" t="s">
        <v>51</v>
      </c>
    </row>
    <row r="3" spans="1:9" x14ac:dyDescent="0.35">
      <c r="A3" s="3" t="s">
        <v>52</v>
      </c>
    </row>
    <row r="5" spans="1:9" x14ac:dyDescent="0.35">
      <c r="A5" s="4" t="s">
        <v>53</v>
      </c>
      <c r="B5" s="5"/>
      <c r="C5" s="5"/>
      <c r="D5" s="5"/>
      <c r="E5" s="5"/>
      <c r="F5" s="5"/>
      <c r="G5" s="5"/>
      <c r="H5" s="5"/>
      <c r="I5" s="5"/>
    </row>
    <row r="6" spans="1:9" x14ac:dyDescent="0.35">
      <c r="A6" s="6" t="s">
        <v>54</v>
      </c>
      <c r="C6" s="24">
        <f>SUM($F$18:$F$41)</f>
        <v>63</v>
      </c>
      <c r="I6" s="3" t="s">
        <v>55</v>
      </c>
    </row>
    <row r="7" spans="1:9" x14ac:dyDescent="0.35">
      <c r="A7" s="6" t="s">
        <v>56</v>
      </c>
      <c r="C7" s="24">
        <f>SUM($H$18:$H$41)</f>
        <v>63</v>
      </c>
      <c r="I7" s="3" t="s">
        <v>57</v>
      </c>
    </row>
    <row r="8" spans="1:9" x14ac:dyDescent="0.35">
      <c r="A8" s="6" t="s">
        <v>58</v>
      </c>
      <c r="C8" s="25">
        <f>MIN('00_Inputs'!$B$26,C7*'00_Inputs'!$B$12/C6)</f>
        <v>0.88</v>
      </c>
      <c r="I8" s="3" t="s">
        <v>59</v>
      </c>
    </row>
    <row r="9" spans="1:9" x14ac:dyDescent="0.35">
      <c r="A9" s="6" t="s">
        <v>60</v>
      </c>
      <c r="C9" s="26">
        <f>CEILING(MAX($F$18:$F$41)*C8,0.5)</f>
        <v>8</v>
      </c>
      <c r="I9" s="3" t="s">
        <v>61</v>
      </c>
    </row>
    <row r="10" spans="1:9" x14ac:dyDescent="0.35">
      <c r="A10" s="6" t="s">
        <v>62</v>
      </c>
      <c r="C10" s="27">
        <f>CEILING(C6*C8/'00_Inputs'!$B$27/(1-'00_Inputs'!$B$28),1)</f>
        <v>69</v>
      </c>
      <c r="I10" s="3" t="s">
        <v>63</v>
      </c>
    </row>
    <row r="11" spans="1:9" x14ac:dyDescent="0.35">
      <c r="A11" s="6" t="s">
        <v>64</v>
      </c>
      <c r="C11" s="28">
        <f>C10/C9</f>
        <v>8.625</v>
      </c>
      <c r="I11" s="3" t="s">
        <v>65</v>
      </c>
    </row>
    <row r="12" spans="1:9" x14ac:dyDescent="0.35">
      <c r="A12" s="6" t="s">
        <v>66</v>
      </c>
      <c r="C12" s="29">
        <f>C10*'00_Inputs'!$B$30*1.05</f>
        <v>79.695000000000007</v>
      </c>
      <c r="I12" s="3" t="s">
        <v>67</v>
      </c>
    </row>
    <row r="13" spans="1:9" x14ac:dyDescent="0.35">
      <c r="A13" s="6" t="s">
        <v>68</v>
      </c>
      <c r="C13" s="30" t="str">
        <f>IF('00_Inputs'!$B$26&lt;=C8+0.0001,"OK — target coverage feasible","CHECK — max feasible coverage = "&amp;TEXT(C8,"0%")&amp;". Raise contract demand, shed day load, or add on-site solar.")</f>
        <v>CHECK — max feasible coverage = 88%. Raise contract demand, shed day load, or add on-site solar.</v>
      </c>
    </row>
    <row r="16" spans="1:9" x14ac:dyDescent="0.35">
      <c r="A16" s="31" t="s">
        <v>69</v>
      </c>
      <c r="I16" s="3" t="s">
        <v>70</v>
      </c>
    </row>
    <row r="17" spans="1:9" ht="26.5" x14ac:dyDescent="0.35">
      <c r="A17" s="32" t="s">
        <v>71</v>
      </c>
      <c r="B17" s="32" t="s">
        <v>72</v>
      </c>
      <c r="C17" s="32" t="s">
        <v>73</v>
      </c>
      <c r="D17" s="32" t="s">
        <v>74</v>
      </c>
      <c r="E17" s="32" t="s">
        <v>75</v>
      </c>
      <c r="F17" s="32" t="s">
        <v>76</v>
      </c>
      <c r="G17" s="32" t="s">
        <v>77</v>
      </c>
      <c r="H17" s="32" t="s">
        <v>78</v>
      </c>
      <c r="I17" s="32" t="s">
        <v>79</v>
      </c>
    </row>
    <row r="18" spans="1:9" x14ac:dyDescent="0.35">
      <c r="A18" s="33">
        <v>0</v>
      </c>
      <c r="B18" s="34" t="str">
        <f t="shared" ref="B18:B41" si="0">IF(A18&gt;=17,"Peak",IF(A18&gt;=9,"Solar","Normal"))</f>
        <v>Normal</v>
      </c>
      <c r="C18" s="35">
        <f>IF(A18&lt;6,'00_Inputs'!$B$23,IF(A18&lt;17,'00_Inputs'!$B$24,'00_Inputs'!$B$25))</f>
        <v>5</v>
      </c>
      <c r="D18" s="36"/>
      <c r="E18" s="37">
        <f t="shared" ref="E18:E41" si="1">IF(D18&lt;&gt;"",D18,C18)</f>
        <v>5</v>
      </c>
      <c r="F18" s="37">
        <f>IF(B18="Peak",MIN(E18,'00_Inputs'!$B$22),0)</f>
        <v>0</v>
      </c>
      <c r="G18" s="37">
        <f t="shared" ref="G18:G41" si="2">F18*$C$8</f>
        <v>0</v>
      </c>
      <c r="H18" s="37">
        <f>IF(B18="Peak",0,MIN(MAX('00_Inputs'!$B$22-E18,0),'00_Inputs'!$B$26*MAX($F$18:$F$41)))</f>
        <v>5</v>
      </c>
    </row>
    <row r="19" spans="1:9" x14ac:dyDescent="0.35">
      <c r="A19" s="33">
        <v>1</v>
      </c>
      <c r="B19" s="34" t="str">
        <f t="shared" si="0"/>
        <v>Normal</v>
      </c>
      <c r="C19" s="35">
        <f>IF(A19&lt;6,'00_Inputs'!$B$23,IF(A19&lt;17,'00_Inputs'!$B$24,'00_Inputs'!$B$25))</f>
        <v>5</v>
      </c>
      <c r="D19" s="36"/>
      <c r="E19" s="37">
        <f t="shared" si="1"/>
        <v>5</v>
      </c>
      <c r="F19" s="37">
        <f>IF(B19="Peak",MIN(E19,'00_Inputs'!$B$22),0)</f>
        <v>0</v>
      </c>
      <c r="G19" s="37">
        <f t="shared" si="2"/>
        <v>0</v>
      </c>
      <c r="H19" s="37">
        <f>IF(B19="Peak",0,MIN(MAX('00_Inputs'!$B$22-E19,0),'00_Inputs'!$B$26*MAX($F$18:$F$41)))</f>
        <v>5</v>
      </c>
    </row>
    <row r="20" spans="1:9" x14ac:dyDescent="0.35">
      <c r="A20" s="33">
        <v>2</v>
      </c>
      <c r="B20" s="34" t="str">
        <f t="shared" si="0"/>
        <v>Normal</v>
      </c>
      <c r="C20" s="35">
        <f>IF(A20&lt;6,'00_Inputs'!$B$23,IF(A20&lt;17,'00_Inputs'!$B$24,'00_Inputs'!$B$25))</f>
        <v>5</v>
      </c>
      <c r="D20" s="36"/>
      <c r="E20" s="37">
        <f t="shared" si="1"/>
        <v>5</v>
      </c>
      <c r="F20" s="37">
        <f>IF(B20="Peak",MIN(E20,'00_Inputs'!$B$22),0)</f>
        <v>0</v>
      </c>
      <c r="G20" s="37">
        <f t="shared" si="2"/>
        <v>0</v>
      </c>
      <c r="H20" s="37">
        <f>IF(B20="Peak",0,MIN(MAX('00_Inputs'!$B$22-E20,0),'00_Inputs'!$B$26*MAX($F$18:$F$41)))</f>
        <v>5</v>
      </c>
    </row>
    <row r="21" spans="1:9" x14ac:dyDescent="0.35">
      <c r="A21" s="33">
        <v>3</v>
      </c>
      <c r="B21" s="34" t="str">
        <f t="shared" si="0"/>
        <v>Normal</v>
      </c>
      <c r="C21" s="35">
        <f>IF(A21&lt;6,'00_Inputs'!$B$23,IF(A21&lt;17,'00_Inputs'!$B$24,'00_Inputs'!$B$25))</f>
        <v>5</v>
      </c>
      <c r="D21" s="36"/>
      <c r="E21" s="37">
        <f t="shared" si="1"/>
        <v>5</v>
      </c>
      <c r="F21" s="37">
        <f>IF(B21="Peak",MIN(E21,'00_Inputs'!$B$22),0)</f>
        <v>0</v>
      </c>
      <c r="G21" s="37">
        <f t="shared" si="2"/>
        <v>0</v>
      </c>
      <c r="H21" s="37">
        <f>IF(B21="Peak",0,MIN(MAX('00_Inputs'!$B$22-E21,0),'00_Inputs'!$B$26*MAX($F$18:$F$41)))</f>
        <v>5</v>
      </c>
    </row>
    <row r="22" spans="1:9" x14ac:dyDescent="0.35">
      <c r="A22" s="33">
        <v>4</v>
      </c>
      <c r="B22" s="34" t="str">
        <f t="shared" si="0"/>
        <v>Normal</v>
      </c>
      <c r="C22" s="35">
        <f>IF(A22&lt;6,'00_Inputs'!$B$23,IF(A22&lt;17,'00_Inputs'!$B$24,'00_Inputs'!$B$25))</f>
        <v>5</v>
      </c>
      <c r="D22" s="36"/>
      <c r="E22" s="37">
        <f t="shared" si="1"/>
        <v>5</v>
      </c>
      <c r="F22" s="37">
        <f>IF(B22="Peak",MIN(E22,'00_Inputs'!$B$22),0)</f>
        <v>0</v>
      </c>
      <c r="G22" s="37">
        <f t="shared" si="2"/>
        <v>0</v>
      </c>
      <c r="H22" s="37">
        <f>IF(B22="Peak",0,MIN(MAX('00_Inputs'!$B$22-E22,0),'00_Inputs'!$B$26*MAX($F$18:$F$41)))</f>
        <v>5</v>
      </c>
    </row>
    <row r="23" spans="1:9" x14ac:dyDescent="0.35">
      <c r="A23" s="33">
        <v>5</v>
      </c>
      <c r="B23" s="34" t="str">
        <f t="shared" si="0"/>
        <v>Normal</v>
      </c>
      <c r="C23" s="35">
        <f>IF(A23&lt;6,'00_Inputs'!$B$23,IF(A23&lt;17,'00_Inputs'!$B$24,'00_Inputs'!$B$25))</f>
        <v>5</v>
      </c>
      <c r="D23" s="36"/>
      <c r="E23" s="37">
        <f t="shared" si="1"/>
        <v>5</v>
      </c>
      <c r="F23" s="37">
        <f>IF(B23="Peak",MIN(E23,'00_Inputs'!$B$22),0)</f>
        <v>0</v>
      </c>
      <c r="G23" s="37">
        <f t="shared" si="2"/>
        <v>0</v>
      </c>
      <c r="H23" s="37">
        <f>IF(B23="Peak",0,MIN(MAX('00_Inputs'!$B$22-E23,0),'00_Inputs'!$B$26*MAX($F$18:$F$41)))</f>
        <v>5</v>
      </c>
    </row>
    <row r="24" spans="1:9" x14ac:dyDescent="0.35">
      <c r="A24" s="33">
        <v>6</v>
      </c>
      <c r="B24" s="34" t="str">
        <f t="shared" si="0"/>
        <v>Normal</v>
      </c>
      <c r="C24" s="35">
        <f>IF(A24&lt;6,'00_Inputs'!$B$23,IF(A24&lt;17,'00_Inputs'!$B$24,'00_Inputs'!$B$25))</f>
        <v>7</v>
      </c>
      <c r="D24" s="36"/>
      <c r="E24" s="37">
        <f t="shared" si="1"/>
        <v>7</v>
      </c>
      <c r="F24" s="37">
        <f>IF(B24="Peak",MIN(E24,'00_Inputs'!$B$22),0)</f>
        <v>0</v>
      </c>
      <c r="G24" s="37">
        <f t="shared" si="2"/>
        <v>0</v>
      </c>
      <c r="H24" s="37">
        <f>IF(B24="Peak",0,MIN(MAX('00_Inputs'!$B$22-E24,0),'00_Inputs'!$B$26*MAX($F$18:$F$41)))</f>
        <v>3</v>
      </c>
    </row>
    <row r="25" spans="1:9" x14ac:dyDescent="0.35">
      <c r="A25" s="33">
        <v>7</v>
      </c>
      <c r="B25" s="34" t="str">
        <f t="shared" si="0"/>
        <v>Normal</v>
      </c>
      <c r="C25" s="35">
        <f>IF(A25&lt;6,'00_Inputs'!$B$23,IF(A25&lt;17,'00_Inputs'!$B$24,'00_Inputs'!$B$25))</f>
        <v>7</v>
      </c>
      <c r="D25" s="36"/>
      <c r="E25" s="37">
        <f t="shared" si="1"/>
        <v>7</v>
      </c>
      <c r="F25" s="37">
        <f>IF(B25="Peak",MIN(E25,'00_Inputs'!$B$22),0)</f>
        <v>0</v>
      </c>
      <c r="G25" s="37">
        <f t="shared" si="2"/>
        <v>0</v>
      </c>
      <c r="H25" s="37">
        <f>IF(B25="Peak",0,MIN(MAX('00_Inputs'!$B$22-E25,0),'00_Inputs'!$B$26*MAX($F$18:$F$41)))</f>
        <v>3</v>
      </c>
    </row>
    <row r="26" spans="1:9" x14ac:dyDescent="0.35">
      <c r="A26" s="33">
        <v>8</v>
      </c>
      <c r="B26" s="34" t="str">
        <f t="shared" si="0"/>
        <v>Normal</v>
      </c>
      <c r="C26" s="35">
        <f>IF(A26&lt;6,'00_Inputs'!$B$23,IF(A26&lt;17,'00_Inputs'!$B$24,'00_Inputs'!$B$25))</f>
        <v>7</v>
      </c>
      <c r="D26" s="36"/>
      <c r="E26" s="37">
        <f t="shared" si="1"/>
        <v>7</v>
      </c>
      <c r="F26" s="37">
        <f>IF(B26="Peak",MIN(E26,'00_Inputs'!$B$22),0)</f>
        <v>0</v>
      </c>
      <c r="G26" s="37">
        <f t="shared" si="2"/>
        <v>0</v>
      </c>
      <c r="H26" s="37">
        <f>IF(B26="Peak",0,MIN(MAX('00_Inputs'!$B$22-E26,0),'00_Inputs'!$B$26*MAX($F$18:$F$41)))</f>
        <v>3</v>
      </c>
    </row>
    <row r="27" spans="1:9" x14ac:dyDescent="0.35">
      <c r="A27" s="33">
        <v>9</v>
      </c>
      <c r="B27" s="34" t="str">
        <f t="shared" si="0"/>
        <v>Solar</v>
      </c>
      <c r="C27" s="35">
        <f>IF(A27&lt;6,'00_Inputs'!$B$23,IF(A27&lt;17,'00_Inputs'!$B$24,'00_Inputs'!$B$25))</f>
        <v>7</v>
      </c>
      <c r="D27" s="36"/>
      <c r="E27" s="37">
        <f t="shared" si="1"/>
        <v>7</v>
      </c>
      <c r="F27" s="37">
        <f>IF(B27="Peak",MIN(E27,'00_Inputs'!$B$22),0)</f>
        <v>0</v>
      </c>
      <c r="G27" s="37">
        <f t="shared" si="2"/>
        <v>0</v>
      </c>
      <c r="H27" s="37">
        <f>IF(B27="Peak",0,MIN(MAX('00_Inputs'!$B$22-E27,0),'00_Inputs'!$B$26*MAX($F$18:$F$41)))</f>
        <v>3</v>
      </c>
    </row>
    <row r="28" spans="1:9" x14ac:dyDescent="0.35">
      <c r="A28" s="33">
        <v>10</v>
      </c>
      <c r="B28" s="34" t="str">
        <f t="shared" si="0"/>
        <v>Solar</v>
      </c>
      <c r="C28" s="35">
        <f>IF(A28&lt;6,'00_Inputs'!$B$23,IF(A28&lt;17,'00_Inputs'!$B$24,'00_Inputs'!$B$25))</f>
        <v>7</v>
      </c>
      <c r="D28" s="36"/>
      <c r="E28" s="37">
        <f t="shared" si="1"/>
        <v>7</v>
      </c>
      <c r="F28" s="37">
        <f>IF(B28="Peak",MIN(E28,'00_Inputs'!$B$22),0)</f>
        <v>0</v>
      </c>
      <c r="G28" s="37">
        <f t="shared" si="2"/>
        <v>0</v>
      </c>
      <c r="H28" s="37">
        <f>IF(B28="Peak",0,MIN(MAX('00_Inputs'!$B$22-E28,0),'00_Inputs'!$B$26*MAX($F$18:$F$41)))</f>
        <v>3</v>
      </c>
    </row>
    <row r="29" spans="1:9" x14ac:dyDescent="0.35">
      <c r="A29" s="33">
        <v>11</v>
      </c>
      <c r="B29" s="34" t="str">
        <f t="shared" si="0"/>
        <v>Solar</v>
      </c>
      <c r="C29" s="35">
        <f>IF(A29&lt;6,'00_Inputs'!$B$23,IF(A29&lt;17,'00_Inputs'!$B$24,'00_Inputs'!$B$25))</f>
        <v>7</v>
      </c>
      <c r="D29" s="36"/>
      <c r="E29" s="37">
        <f t="shared" si="1"/>
        <v>7</v>
      </c>
      <c r="F29" s="37">
        <f>IF(B29="Peak",MIN(E29,'00_Inputs'!$B$22),0)</f>
        <v>0</v>
      </c>
      <c r="G29" s="37">
        <f t="shared" si="2"/>
        <v>0</v>
      </c>
      <c r="H29" s="37">
        <f>IF(B29="Peak",0,MIN(MAX('00_Inputs'!$B$22-E29,0),'00_Inputs'!$B$26*MAX($F$18:$F$41)))</f>
        <v>3</v>
      </c>
    </row>
    <row r="30" spans="1:9" x14ac:dyDescent="0.35">
      <c r="A30" s="33">
        <v>12</v>
      </c>
      <c r="B30" s="34" t="str">
        <f t="shared" si="0"/>
        <v>Solar</v>
      </c>
      <c r="C30" s="35">
        <f>IF(A30&lt;6,'00_Inputs'!$B$23,IF(A30&lt;17,'00_Inputs'!$B$24,'00_Inputs'!$B$25))</f>
        <v>7</v>
      </c>
      <c r="D30" s="36"/>
      <c r="E30" s="37">
        <f t="shared" si="1"/>
        <v>7</v>
      </c>
      <c r="F30" s="37">
        <f>IF(B30="Peak",MIN(E30,'00_Inputs'!$B$22),0)</f>
        <v>0</v>
      </c>
      <c r="G30" s="37">
        <f t="shared" si="2"/>
        <v>0</v>
      </c>
      <c r="H30" s="37">
        <f>IF(B30="Peak",0,MIN(MAX('00_Inputs'!$B$22-E30,0),'00_Inputs'!$B$26*MAX($F$18:$F$41)))</f>
        <v>3</v>
      </c>
    </row>
    <row r="31" spans="1:9" x14ac:dyDescent="0.35">
      <c r="A31" s="33">
        <v>13</v>
      </c>
      <c r="B31" s="34" t="str">
        <f t="shared" si="0"/>
        <v>Solar</v>
      </c>
      <c r="C31" s="35">
        <f>IF(A31&lt;6,'00_Inputs'!$B$23,IF(A31&lt;17,'00_Inputs'!$B$24,'00_Inputs'!$B$25))</f>
        <v>7</v>
      </c>
      <c r="D31" s="36"/>
      <c r="E31" s="37">
        <f t="shared" si="1"/>
        <v>7</v>
      </c>
      <c r="F31" s="37">
        <f>IF(B31="Peak",MIN(E31,'00_Inputs'!$B$22),0)</f>
        <v>0</v>
      </c>
      <c r="G31" s="37">
        <f t="shared" si="2"/>
        <v>0</v>
      </c>
      <c r="H31" s="37">
        <f>IF(B31="Peak",0,MIN(MAX('00_Inputs'!$B$22-E31,0),'00_Inputs'!$B$26*MAX($F$18:$F$41)))</f>
        <v>3</v>
      </c>
    </row>
    <row r="32" spans="1:9" x14ac:dyDescent="0.35">
      <c r="A32" s="33">
        <v>14</v>
      </c>
      <c r="B32" s="34" t="str">
        <f t="shared" si="0"/>
        <v>Solar</v>
      </c>
      <c r="C32" s="35">
        <f>IF(A32&lt;6,'00_Inputs'!$B$23,IF(A32&lt;17,'00_Inputs'!$B$24,'00_Inputs'!$B$25))</f>
        <v>7</v>
      </c>
      <c r="D32" s="36"/>
      <c r="E32" s="37">
        <f t="shared" si="1"/>
        <v>7</v>
      </c>
      <c r="F32" s="37">
        <f>IF(B32="Peak",MIN(E32,'00_Inputs'!$B$22),0)</f>
        <v>0</v>
      </c>
      <c r="G32" s="37">
        <f t="shared" si="2"/>
        <v>0</v>
      </c>
      <c r="H32" s="37">
        <f>IF(B32="Peak",0,MIN(MAX('00_Inputs'!$B$22-E32,0),'00_Inputs'!$B$26*MAX($F$18:$F$41)))</f>
        <v>3</v>
      </c>
    </row>
    <row r="33" spans="1:8" x14ac:dyDescent="0.35">
      <c r="A33" s="33">
        <v>15</v>
      </c>
      <c r="B33" s="34" t="str">
        <f t="shared" si="0"/>
        <v>Solar</v>
      </c>
      <c r="C33" s="35">
        <f>IF(A33&lt;6,'00_Inputs'!$B$23,IF(A33&lt;17,'00_Inputs'!$B$24,'00_Inputs'!$B$25))</f>
        <v>7</v>
      </c>
      <c r="D33" s="36"/>
      <c r="E33" s="37">
        <f t="shared" si="1"/>
        <v>7</v>
      </c>
      <c r="F33" s="37">
        <f>IF(B33="Peak",MIN(E33,'00_Inputs'!$B$22),0)</f>
        <v>0</v>
      </c>
      <c r="G33" s="37">
        <f t="shared" si="2"/>
        <v>0</v>
      </c>
      <c r="H33" s="37">
        <f>IF(B33="Peak",0,MIN(MAX('00_Inputs'!$B$22-E33,0),'00_Inputs'!$B$26*MAX($F$18:$F$41)))</f>
        <v>3</v>
      </c>
    </row>
    <row r="34" spans="1:8" x14ac:dyDescent="0.35">
      <c r="A34" s="33">
        <v>16</v>
      </c>
      <c r="B34" s="34" t="str">
        <f t="shared" si="0"/>
        <v>Solar</v>
      </c>
      <c r="C34" s="35">
        <f>IF(A34&lt;6,'00_Inputs'!$B$23,IF(A34&lt;17,'00_Inputs'!$B$24,'00_Inputs'!$B$25))</f>
        <v>7</v>
      </c>
      <c r="D34" s="36"/>
      <c r="E34" s="37">
        <f t="shared" si="1"/>
        <v>7</v>
      </c>
      <c r="F34" s="37">
        <f>IF(B34="Peak",MIN(E34,'00_Inputs'!$B$22),0)</f>
        <v>0</v>
      </c>
      <c r="G34" s="37">
        <f t="shared" si="2"/>
        <v>0</v>
      </c>
      <c r="H34" s="37">
        <f>IF(B34="Peak",0,MIN(MAX('00_Inputs'!$B$22-E34,0),'00_Inputs'!$B$26*MAX($F$18:$F$41)))</f>
        <v>3</v>
      </c>
    </row>
    <row r="35" spans="1:8" x14ac:dyDescent="0.35">
      <c r="A35" s="33">
        <v>17</v>
      </c>
      <c r="B35" s="34" t="str">
        <f t="shared" si="0"/>
        <v>Peak</v>
      </c>
      <c r="C35" s="35">
        <f>IF(A35&lt;6,'00_Inputs'!$B$23,IF(A35&lt;17,'00_Inputs'!$B$24,'00_Inputs'!$B$25))</f>
        <v>9</v>
      </c>
      <c r="D35" s="36"/>
      <c r="E35" s="37">
        <f t="shared" si="1"/>
        <v>9</v>
      </c>
      <c r="F35" s="37">
        <f>IF(B35="Peak",MIN(E35,'00_Inputs'!$B$22),0)</f>
        <v>9</v>
      </c>
      <c r="G35" s="37">
        <f t="shared" si="2"/>
        <v>7.92</v>
      </c>
      <c r="H35" s="37">
        <f>IF(B35="Peak",0,MIN(MAX('00_Inputs'!$B$22-E35,0),'00_Inputs'!$B$26*MAX($F$18:$F$41)))</f>
        <v>0</v>
      </c>
    </row>
    <row r="36" spans="1:8" x14ac:dyDescent="0.35">
      <c r="A36" s="33">
        <v>18</v>
      </c>
      <c r="B36" s="34" t="str">
        <f t="shared" si="0"/>
        <v>Peak</v>
      </c>
      <c r="C36" s="35">
        <f>IF(A36&lt;6,'00_Inputs'!$B$23,IF(A36&lt;17,'00_Inputs'!$B$24,'00_Inputs'!$B$25))</f>
        <v>9</v>
      </c>
      <c r="D36" s="36"/>
      <c r="E36" s="37">
        <f t="shared" si="1"/>
        <v>9</v>
      </c>
      <c r="F36" s="37">
        <f>IF(B36="Peak",MIN(E36,'00_Inputs'!$B$22),0)</f>
        <v>9</v>
      </c>
      <c r="G36" s="37">
        <f t="shared" si="2"/>
        <v>7.92</v>
      </c>
      <c r="H36" s="37">
        <f>IF(B36="Peak",0,MIN(MAX('00_Inputs'!$B$22-E36,0),'00_Inputs'!$B$26*MAX($F$18:$F$41)))</f>
        <v>0</v>
      </c>
    </row>
    <row r="37" spans="1:8" x14ac:dyDescent="0.35">
      <c r="A37" s="33">
        <v>19</v>
      </c>
      <c r="B37" s="34" t="str">
        <f t="shared" si="0"/>
        <v>Peak</v>
      </c>
      <c r="C37" s="35">
        <f>IF(A37&lt;6,'00_Inputs'!$B$23,IF(A37&lt;17,'00_Inputs'!$B$24,'00_Inputs'!$B$25))</f>
        <v>9</v>
      </c>
      <c r="D37" s="36"/>
      <c r="E37" s="37">
        <f t="shared" si="1"/>
        <v>9</v>
      </c>
      <c r="F37" s="37">
        <f>IF(B37="Peak",MIN(E37,'00_Inputs'!$B$22),0)</f>
        <v>9</v>
      </c>
      <c r="G37" s="37">
        <f t="shared" si="2"/>
        <v>7.92</v>
      </c>
      <c r="H37" s="37">
        <f>IF(B37="Peak",0,MIN(MAX('00_Inputs'!$B$22-E37,0),'00_Inputs'!$B$26*MAX($F$18:$F$41)))</f>
        <v>0</v>
      </c>
    </row>
    <row r="38" spans="1:8" x14ac:dyDescent="0.35">
      <c r="A38" s="33">
        <v>20</v>
      </c>
      <c r="B38" s="34" t="str">
        <f t="shared" si="0"/>
        <v>Peak</v>
      </c>
      <c r="C38" s="35">
        <f>IF(A38&lt;6,'00_Inputs'!$B$23,IF(A38&lt;17,'00_Inputs'!$B$24,'00_Inputs'!$B$25))</f>
        <v>9</v>
      </c>
      <c r="D38" s="36"/>
      <c r="E38" s="37">
        <f t="shared" si="1"/>
        <v>9</v>
      </c>
      <c r="F38" s="37">
        <f>IF(B38="Peak",MIN(E38,'00_Inputs'!$B$22),0)</f>
        <v>9</v>
      </c>
      <c r="G38" s="37">
        <f t="shared" si="2"/>
        <v>7.92</v>
      </c>
      <c r="H38" s="37">
        <f>IF(B38="Peak",0,MIN(MAX('00_Inputs'!$B$22-E38,0),'00_Inputs'!$B$26*MAX($F$18:$F$41)))</f>
        <v>0</v>
      </c>
    </row>
    <row r="39" spans="1:8" x14ac:dyDescent="0.35">
      <c r="A39" s="33">
        <v>21</v>
      </c>
      <c r="B39" s="34" t="str">
        <f t="shared" si="0"/>
        <v>Peak</v>
      </c>
      <c r="C39" s="35">
        <f>IF(A39&lt;6,'00_Inputs'!$B$23,IF(A39&lt;17,'00_Inputs'!$B$24,'00_Inputs'!$B$25))</f>
        <v>9</v>
      </c>
      <c r="D39" s="36"/>
      <c r="E39" s="37">
        <f t="shared" si="1"/>
        <v>9</v>
      </c>
      <c r="F39" s="37">
        <f>IF(B39="Peak",MIN(E39,'00_Inputs'!$B$22),0)</f>
        <v>9</v>
      </c>
      <c r="G39" s="37">
        <f t="shared" si="2"/>
        <v>7.92</v>
      </c>
      <c r="H39" s="37">
        <f>IF(B39="Peak",0,MIN(MAX('00_Inputs'!$B$22-E39,0),'00_Inputs'!$B$26*MAX($F$18:$F$41)))</f>
        <v>0</v>
      </c>
    </row>
    <row r="40" spans="1:8" x14ac:dyDescent="0.35">
      <c r="A40" s="33">
        <v>22</v>
      </c>
      <c r="B40" s="34" t="str">
        <f t="shared" si="0"/>
        <v>Peak</v>
      </c>
      <c r="C40" s="35">
        <f>IF(A40&lt;6,'00_Inputs'!$B$23,IF(A40&lt;17,'00_Inputs'!$B$24,'00_Inputs'!$B$25))</f>
        <v>9</v>
      </c>
      <c r="D40" s="36"/>
      <c r="E40" s="37">
        <f t="shared" si="1"/>
        <v>9</v>
      </c>
      <c r="F40" s="37">
        <f>IF(B40="Peak",MIN(E40,'00_Inputs'!$B$22),0)</f>
        <v>9</v>
      </c>
      <c r="G40" s="37">
        <f t="shared" si="2"/>
        <v>7.92</v>
      </c>
      <c r="H40" s="37">
        <f>IF(B40="Peak",0,MIN(MAX('00_Inputs'!$B$22-E40,0),'00_Inputs'!$B$26*MAX($F$18:$F$41)))</f>
        <v>0</v>
      </c>
    </row>
    <row r="41" spans="1:8" x14ac:dyDescent="0.35">
      <c r="A41" s="33">
        <v>23</v>
      </c>
      <c r="B41" s="34" t="str">
        <f t="shared" si="0"/>
        <v>Peak</v>
      </c>
      <c r="C41" s="35">
        <f>IF(A41&lt;6,'00_Inputs'!$B$23,IF(A41&lt;17,'00_Inputs'!$B$24,'00_Inputs'!$B$25))</f>
        <v>9</v>
      </c>
      <c r="D41" s="36"/>
      <c r="E41" s="37">
        <f t="shared" si="1"/>
        <v>9</v>
      </c>
      <c r="F41" s="37">
        <f>IF(B41="Peak",MIN(E41,'00_Inputs'!$B$22),0)</f>
        <v>9</v>
      </c>
      <c r="G41" s="37">
        <f t="shared" si="2"/>
        <v>7.92</v>
      </c>
      <c r="H41" s="37">
        <f>IF(B41="Peak",0,MIN(MAX('00_Inputs'!$B$22-E41,0),'00_Inputs'!$B$26*MAX($F$18:$F$41)))</f>
        <v>0</v>
      </c>
    </row>
    <row r="43" spans="1:8" x14ac:dyDescent="0.35">
      <c r="A43" s="3" t="s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workbookViewId="0"/>
  </sheetViews>
  <sheetFormatPr defaultRowHeight="14.5" x14ac:dyDescent="0.35"/>
  <cols>
    <col min="1" max="1" width="7" customWidth="1"/>
    <col min="2" max="2" width="9" customWidth="1"/>
    <col min="3" max="5" width="13" customWidth="1"/>
    <col min="6" max="6" width="11" customWidth="1"/>
    <col min="7" max="7" width="12" customWidth="1"/>
    <col min="8" max="9" width="13" customWidth="1"/>
    <col min="10" max="10" width="12" customWidth="1"/>
    <col min="11" max="11" width="9" customWidth="1"/>
    <col min="12" max="13" width="14" customWidth="1"/>
    <col min="14" max="14" width="13" customWidth="1"/>
  </cols>
  <sheetData>
    <row r="1" spans="1:5" x14ac:dyDescent="0.35">
      <c r="A1" s="1" t="s">
        <v>81</v>
      </c>
    </row>
    <row r="2" spans="1:5" ht="16.5" x14ac:dyDescent="0.35">
      <c r="A2" s="2" t="s">
        <v>82</v>
      </c>
    </row>
    <row r="3" spans="1:5" x14ac:dyDescent="0.35">
      <c r="A3" s="3" t="s">
        <v>83</v>
      </c>
    </row>
    <row r="5" spans="1:5" x14ac:dyDescent="0.35">
      <c r="A5" s="4" t="s">
        <v>84</v>
      </c>
      <c r="B5" s="5"/>
      <c r="C5" s="5"/>
      <c r="D5" s="5"/>
      <c r="E5" s="5"/>
    </row>
    <row r="6" spans="1:5" x14ac:dyDescent="0.35">
      <c r="A6" s="6" t="s">
        <v>85</v>
      </c>
      <c r="C6" s="24">
        <f>MIN('00_Inputs'!$B$14,'00_Inputs'!$B$13*7/'00_Inputs'!$B$12)</f>
        <v>63.636363636363633</v>
      </c>
      <c r="E6" s="3" t="s">
        <v>86</v>
      </c>
    </row>
    <row r="7" spans="1:5" x14ac:dyDescent="0.35">
      <c r="A7" s="6" t="s">
        <v>87</v>
      </c>
      <c r="C7" s="38">
        <f>CEILING(C6/'00_Inputs'!$B$13,1)</f>
        <v>8</v>
      </c>
    </row>
    <row r="8" spans="1:5" x14ac:dyDescent="0.35">
      <c r="A8" s="6" t="s">
        <v>88</v>
      </c>
      <c r="C8" s="24">
        <f>SUM($H$21:$H$44)</f>
        <v>63.636363636363633</v>
      </c>
    </row>
    <row r="9" spans="1:5" x14ac:dyDescent="0.35">
      <c r="A9" s="6" t="s">
        <v>89</v>
      </c>
      <c r="C9" s="24">
        <f>SUM($I$21:$I$44)</f>
        <v>55.999999999999986</v>
      </c>
    </row>
    <row r="10" spans="1:5" x14ac:dyDescent="0.35">
      <c r="A10" s="6" t="s">
        <v>90</v>
      </c>
      <c r="C10" s="39">
        <f>SUM($L$21:$L$44)</f>
        <v>416745.45454545453</v>
      </c>
      <c r="E10" s="3" t="s">
        <v>91</v>
      </c>
    </row>
    <row r="11" spans="1:5" x14ac:dyDescent="0.35">
      <c r="A11" s="6" t="s">
        <v>92</v>
      </c>
      <c r="C11" s="39">
        <f>SUM($M$21:$M$44)</f>
        <v>567167.99999999977</v>
      </c>
    </row>
    <row r="12" spans="1:5" x14ac:dyDescent="0.35">
      <c r="A12" s="6" t="s">
        <v>93</v>
      </c>
      <c r="C12" s="40">
        <f>(C11-C10)/100000</f>
        <v>1.5042254545454523</v>
      </c>
    </row>
    <row r="13" spans="1:5" x14ac:dyDescent="0.35">
      <c r="A13" s="6" t="s">
        <v>94</v>
      </c>
      <c r="C13" s="41">
        <f>C12*'00_Inputs'!$B$32/100</f>
        <v>4.9639439999999926</v>
      </c>
      <c r="E13" s="3" t="s">
        <v>95</v>
      </c>
    </row>
    <row r="14" spans="1:5" x14ac:dyDescent="0.35">
      <c r="A14" s="6" t="s">
        <v>96</v>
      </c>
      <c r="C14" s="42">
        <f>IF(C8&gt;0,C10/C8/1000,0)</f>
        <v>6.5488571428571429</v>
      </c>
    </row>
    <row r="15" spans="1:5" x14ac:dyDescent="0.35">
      <c r="A15" s="6" t="s">
        <v>97</v>
      </c>
      <c r="C15" s="42">
        <f>IF(C9&gt;0,C11/C9/1000,0)</f>
        <v>10.127999999999998</v>
      </c>
    </row>
    <row r="16" spans="1:5" x14ac:dyDescent="0.35">
      <c r="A16" s="6" t="s">
        <v>98</v>
      </c>
      <c r="C16" s="42">
        <f>C15-C14/'00_Inputs'!$B$12</f>
        <v>2.6861168831168811</v>
      </c>
      <c r="E16" s="3" t="s">
        <v>99</v>
      </c>
    </row>
    <row r="17" spans="1:14" x14ac:dyDescent="0.35">
      <c r="A17" s="6" t="s">
        <v>100</v>
      </c>
      <c r="C17" s="43">
        <f>$J$44/'00_Inputs'!$B$14</f>
        <v>0</v>
      </c>
      <c r="E17" s="3" t="s">
        <v>101</v>
      </c>
    </row>
    <row r="20" spans="1:14" ht="26.5" x14ac:dyDescent="0.35">
      <c r="A20" s="32" t="s">
        <v>71</v>
      </c>
      <c r="B20" s="32" t="s">
        <v>72</v>
      </c>
      <c r="C20" s="32" t="s">
        <v>102</v>
      </c>
      <c r="D20" s="32" t="s">
        <v>103</v>
      </c>
      <c r="E20" s="32" t="s">
        <v>104</v>
      </c>
      <c r="F20" s="32" t="s">
        <v>105</v>
      </c>
      <c r="G20" s="32" t="s">
        <v>106</v>
      </c>
      <c r="H20" s="32" t="s">
        <v>107</v>
      </c>
      <c r="I20" s="32" t="s">
        <v>108</v>
      </c>
      <c r="J20" s="32" t="s">
        <v>109</v>
      </c>
      <c r="K20" s="32" t="s">
        <v>110</v>
      </c>
      <c r="L20" s="32" t="s">
        <v>111</v>
      </c>
      <c r="M20" s="32" t="s">
        <v>112</v>
      </c>
      <c r="N20" s="32" t="s">
        <v>113</v>
      </c>
    </row>
    <row r="21" spans="1:14" x14ac:dyDescent="0.35">
      <c r="A21" s="33">
        <v>0</v>
      </c>
      <c r="B21" s="34" t="str">
        <f t="shared" ref="B21:B44" si="0">IF(A21&gt;=17,"Peak",IF(A21&gt;=9,"Solar","Normal"))</f>
        <v>Normal</v>
      </c>
      <c r="C21" s="44">
        <f>INDEX(Prices!$B$2:$D$25,A21+1,'00_Inputs'!$B$7)</f>
        <v>4.2</v>
      </c>
      <c r="D21" s="17">
        <f>C21+'00_Inputs'!$B$19</f>
        <v>7.85</v>
      </c>
      <c r="E21" s="17">
        <f>'00_Inputs'!$B$16*IF(B21="Peak",'00_Inputs'!$B$17,IF(B21="Solar",'00_Inputs'!$B$18,1))</f>
        <v>8.44</v>
      </c>
      <c r="F21" s="45">
        <f t="shared" ref="F21:F44" si="1">IF(B21="Peak","",SUMPRODUCT(($B$21:$B$44&lt;&gt;"Peak")*($D$21:$D$44&lt;D21))+1)</f>
        <v>14</v>
      </c>
      <c r="G21" s="45">
        <f>IF(B21="Peak",0,IF(AND(F21&lt;=$C$7,D21&lt;'00_Inputs'!$B$12*'00_Inputs'!$B$20),1,0))</f>
        <v>0</v>
      </c>
      <c r="H21" s="37">
        <f>IF(G21=1,MIN('00_Inputs'!$B$13,$C$6),0)</f>
        <v>0</v>
      </c>
      <c r="I21" s="37">
        <f>0</f>
        <v>0</v>
      </c>
      <c r="J21" s="37">
        <f>H21-I21/'00_Inputs'!$B$12</f>
        <v>0</v>
      </c>
      <c r="K21" s="46">
        <f>J21/'00_Inputs'!$B$14</f>
        <v>0</v>
      </c>
      <c r="L21" s="47">
        <f t="shared" ref="L21:L44" si="2">H21*1000*D21</f>
        <v>0</v>
      </c>
      <c r="M21" s="47">
        <f t="shared" ref="M21:M44" si="3">I21*1000*E21</f>
        <v>0</v>
      </c>
      <c r="N21" s="34" t="str">
        <f t="shared" ref="N21:N44" si="4">IF(H21&gt;0,"CHARGE",IF(I21&gt;0,"DISCHARGE","—"))</f>
        <v>—</v>
      </c>
    </row>
    <row r="22" spans="1:14" x14ac:dyDescent="0.35">
      <c r="A22" s="33">
        <v>1</v>
      </c>
      <c r="B22" s="34" t="str">
        <f t="shared" si="0"/>
        <v>Normal</v>
      </c>
      <c r="C22" s="44">
        <f>INDEX(Prices!$B$2:$D$25,A22+1,'00_Inputs'!$B$7)</f>
        <v>3.9</v>
      </c>
      <c r="D22" s="17">
        <f>C22+'00_Inputs'!$B$19</f>
        <v>7.55</v>
      </c>
      <c r="E22" s="17">
        <f>'00_Inputs'!$B$16*IF(B22="Peak",'00_Inputs'!$B$17,IF(B22="Solar",'00_Inputs'!$B$18,1))</f>
        <v>8.44</v>
      </c>
      <c r="F22" s="45">
        <f t="shared" si="1"/>
        <v>11</v>
      </c>
      <c r="G22" s="45">
        <f>IF(B22="Peak",0,IF(AND(F22&lt;=$C$7,D22&lt;'00_Inputs'!$B$12*'00_Inputs'!$B$20),1,0))</f>
        <v>0</v>
      </c>
      <c r="H22" s="37">
        <f>IF(G22=1,MIN('00_Inputs'!$B$13,MAX(0,$C$6-SUM($H$21:H21))),0)</f>
        <v>0</v>
      </c>
      <c r="I22" s="37">
        <f>IF(B22="Peak",MIN('00_Inputs'!$B$13,J21*'00_Inputs'!$B$12),0)</f>
        <v>0</v>
      </c>
      <c r="J22" s="37">
        <f>J21+H22-I22/'00_Inputs'!$B$12</f>
        <v>0</v>
      </c>
      <c r="K22" s="46">
        <f>J22/'00_Inputs'!$B$14</f>
        <v>0</v>
      </c>
      <c r="L22" s="47">
        <f t="shared" si="2"/>
        <v>0</v>
      </c>
      <c r="M22" s="47">
        <f t="shared" si="3"/>
        <v>0</v>
      </c>
      <c r="N22" s="34" t="str">
        <f t="shared" si="4"/>
        <v>—</v>
      </c>
    </row>
    <row r="23" spans="1:14" x14ac:dyDescent="0.35">
      <c r="A23" s="33">
        <v>2</v>
      </c>
      <c r="B23" s="34" t="str">
        <f t="shared" si="0"/>
        <v>Normal</v>
      </c>
      <c r="C23" s="44">
        <f>INDEX(Prices!$B$2:$D$25,A23+1,'00_Inputs'!$B$7)</f>
        <v>3.7</v>
      </c>
      <c r="D23" s="17">
        <f>C23+'00_Inputs'!$B$19</f>
        <v>7.35</v>
      </c>
      <c r="E23" s="17">
        <f>'00_Inputs'!$B$16*IF(B23="Peak",'00_Inputs'!$B$17,IF(B23="Solar",'00_Inputs'!$B$18,1))</f>
        <v>8.44</v>
      </c>
      <c r="F23" s="45">
        <f t="shared" si="1"/>
        <v>9</v>
      </c>
      <c r="G23" s="45">
        <f>IF(B23="Peak",0,IF(AND(F23&lt;=$C$7,D23&lt;'00_Inputs'!$B$12*'00_Inputs'!$B$20),1,0))</f>
        <v>0</v>
      </c>
      <c r="H23" s="37">
        <f>IF(G23=1,MIN('00_Inputs'!$B$13,MAX(0,$C$6-SUM($H$21:H22))),0)</f>
        <v>0</v>
      </c>
      <c r="I23" s="37">
        <f>IF(B23="Peak",MIN('00_Inputs'!$B$13,J22*'00_Inputs'!$B$12),0)</f>
        <v>0</v>
      </c>
      <c r="J23" s="37">
        <f>J22+H23-I23/'00_Inputs'!$B$12</f>
        <v>0</v>
      </c>
      <c r="K23" s="46">
        <f>J23/'00_Inputs'!$B$14</f>
        <v>0</v>
      </c>
      <c r="L23" s="47">
        <f t="shared" si="2"/>
        <v>0</v>
      </c>
      <c r="M23" s="47">
        <f t="shared" si="3"/>
        <v>0</v>
      </c>
      <c r="N23" s="34" t="str">
        <f t="shared" si="4"/>
        <v>—</v>
      </c>
    </row>
    <row r="24" spans="1:14" x14ac:dyDescent="0.35">
      <c r="A24" s="33">
        <v>3</v>
      </c>
      <c r="B24" s="34" t="str">
        <f t="shared" si="0"/>
        <v>Normal</v>
      </c>
      <c r="C24" s="44">
        <f>INDEX(Prices!$B$2:$D$25,A24+1,'00_Inputs'!$B$7)</f>
        <v>3.6</v>
      </c>
      <c r="D24" s="17">
        <f>C24+'00_Inputs'!$B$19</f>
        <v>7.25</v>
      </c>
      <c r="E24" s="17">
        <f>'00_Inputs'!$B$16*IF(B24="Peak",'00_Inputs'!$B$17,IF(B24="Solar",'00_Inputs'!$B$18,1))</f>
        <v>8.44</v>
      </c>
      <c r="F24" s="45">
        <f t="shared" si="1"/>
        <v>8</v>
      </c>
      <c r="G24" s="45">
        <f>IF(B24="Peak",0,IF(AND(F24&lt;=$C$7,D24&lt;'00_Inputs'!$B$12*'00_Inputs'!$B$20),1,0))</f>
        <v>1</v>
      </c>
      <c r="H24" s="37">
        <f>IF(G24=1,MIN('00_Inputs'!$B$13,MAX(0,$C$6-SUM($H$21:H23))),0)</f>
        <v>8</v>
      </c>
      <c r="I24" s="37">
        <f>IF(B24="Peak",MIN('00_Inputs'!$B$13,J23*'00_Inputs'!$B$12),0)</f>
        <v>0</v>
      </c>
      <c r="J24" s="37">
        <f>J23+H24-I24/'00_Inputs'!$B$12</f>
        <v>8</v>
      </c>
      <c r="K24" s="46">
        <f>J24/'00_Inputs'!$B$14</f>
        <v>0.11594202898550725</v>
      </c>
      <c r="L24" s="47">
        <f t="shared" si="2"/>
        <v>58000</v>
      </c>
      <c r="M24" s="47">
        <f t="shared" si="3"/>
        <v>0</v>
      </c>
      <c r="N24" s="34" t="str">
        <f t="shared" si="4"/>
        <v>CHARGE</v>
      </c>
    </row>
    <row r="25" spans="1:14" x14ac:dyDescent="0.35">
      <c r="A25" s="33">
        <v>4</v>
      </c>
      <c r="B25" s="34" t="str">
        <f t="shared" si="0"/>
        <v>Normal</v>
      </c>
      <c r="C25" s="44">
        <f>INDEX(Prices!$B$2:$D$25,A25+1,'00_Inputs'!$B$7)</f>
        <v>3.5</v>
      </c>
      <c r="D25" s="17">
        <f>C25+'00_Inputs'!$B$19</f>
        <v>7.15</v>
      </c>
      <c r="E25" s="17">
        <f>'00_Inputs'!$B$16*IF(B25="Peak",'00_Inputs'!$B$17,IF(B25="Solar",'00_Inputs'!$B$18,1))</f>
        <v>8.44</v>
      </c>
      <c r="F25" s="45">
        <f t="shared" si="1"/>
        <v>7</v>
      </c>
      <c r="G25" s="45">
        <f>IF(B25="Peak",0,IF(AND(F25&lt;=$C$7,D25&lt;'00_Inputs'!$B$12*'00_Inputs'!$B$20),1,0))</f>
        <v>1</v>
      </c>
      <c r="H25" s="37">
        <f>IF(G25=1,MIN('00_Inputs'!$B$13,MAX(0,$C$6-SUM($H$21:H24))),0)</f>
        <v>8</v>
      </c>
      <c r="I25" s="37">
        <f>IF(B25="Peak",MIN('00_Inputs'!$B$13,J24*'00_Inputs'!$B$12),0)</f>
        <v>0</v>
      </c>
      <c r="J25" s="37">
        <f>J24+H25-I25/'00_Inputs'!$B$12</f>
        <v>16</v>
      </c>
      <c r="K25" s="46">
        <f>J25/'00_Inputs'!$B$14</f>
        <v>0.2318840579710145</v>
      </c>
      <c r="L25" s="47">
        <f t="shared" si="2"/>
        <v>57200</v>
      </c>
      <c r="M25" s="47">
        <f t="shared" si="3"/>
        <v>0</v>
      </c>
      <c r="N25" s="34" t="str">
        <f t="shared" si="4"/>
        <v>CHARGE</v>
      </c>
    </row>
    <row r="26" spans="1:14" x14ac:dyDescent="0.35">
      <c r="A26" s="33">
        <v>5</v>
      </c>
      <c r="B26" s="34" t="str">
        <f t="shared" si="0"/>
        <v>Normal</v>
      </c>
      <c r="C26" s="44">
        <f>INDEX(Prices!$B$2:$D$25,A26+1,'00_Inputs'!$B$7)</f>
        <v>3.8</v>
      </c>
      <c r="D26" s="17">
        <f>C26+'00_Inputs'!$B$19</f>
        <v>7.4499999999999993</v>
      </c>
      <c r="E26" s="17">
        <f>'00_Inputs'!$B$16*IF(B26="Peak",'00_Inputs'!$B$17,IF(B26="Solar",'00_Inputs'!$B$18,1))</f>
        <v>8.44</v>
      </c>
      <c r="F26" s="45">
        <f t="shared" si="1"/>
        <v>10</v>
      </c>
      <c r="G26" s="45">
        <f>IF(B26="Peak",0,IF(AND(F26&lt;=$C$7,D26&lt;'00_Inputs'!$B$12*'00_Inputs'!$B$20),1,0))</f>
        <v>0</v>
      </c>
      <c r="H26" s="37">
        <f>IF(G26=1,MIN('00_Inputs'!$B$13,MAX(0,$C$6-SUM($H$21:H25))),0)</f>
        <v>0</v>
      </c>
      <c r="I26" s="37">
        <f>IF(B26="Peak",MIN('00_Inputs'!$B$13,J25*'00_Inputs'!$B$12),0)</f>
        <v>0</v>
      </c>
      <c r="J26" s="37">
        <f>J25+H26-I26/'00_Inputs'!$B$12</f>
        <v>16</v>
      </c>
      <c r="K26" s="46">
        <f>J26/'00_Inputs'!$B$14</f>
        <v>0.2318840579710145</v>
      </c>
      <c r="L26" s="47">
        <f t="shared" si="2"/>
        <v>0</v>
      </c>
      <c r="M26" s="47">
        <f t="shared" si="3"/>
        <v>0</v>
      </c>
      <c r="N26" s="34" t="str">
        <f t="shared" si="4"/>
        <v>—</v>
      </c>
    </row>
    <row r="27" spans="1:14" x14ac:dyDescent="0.35">
      <c r="A27" s="33">
        <v>6</v>
      </c>
      <c r="B27" s="34" t="str">
        <f t="shared" si="0"/>
        <v>Normal</v>
      </c>
      <c r="C27" s="44">
        <f>INDEX(Prices!$B$2:$D$25,A27+1,'00_Inputs'!$B$7)</f>
        <v>4.5999999999999996</v>
      </c>
      <c r="D27" s="17">
        <f>C27+'00_Inputs'!$B$19</f>
        <v>8.25</v>
      </c>
      <c r="E27" s="17">
        <f>'00_Inputs'!$B$16*IF(B27="Peak",'00_Inputs'!$B$17,IF(B27="Solar",'00_Inputs'!$B$18,1))</f>
        <v>8.44</v>
      </c>
      <c r="F27" s="45">
        <f t="shared" si="1"/>
        <v>15</v>
      </c>
      <c r="G27" s="45">
        <f>IF(B27="Peak",0,IF(AND(F27&lt;=$C$7,D27&lt;'00_Inputs'!$B$12*'00_Inputs'!$B$20),1,0))</f>
        <v>0</v>
      </c>
      <c r="H27" s="37">
        <f>IF(G27=1,MIN('00_Inputs'!$B$13,MAX(0,$C$6-SUM($H$21:H26))),0)</f>
        <v>0</v>
      </c>
      <c r="I27" s="37">
        <f>IF(B27="Peak",MIN('00_Inputs'!$B$13,J26*'00_Inputs'!$B$12),0)</f>
        <v>0</v>
      </c>
      <c r="J27" s="37">
        <f>J26+H27-I27/'00_Inputs'!$B$12</f>
        <v>16</v>
      </c>
      <c r="K27" s="46">
        <f>J27/'00_Inputs'!$B$14</f>
        <v>0.2318840579710145</v>
      </c>
      <c r="L27" s="47">
        <f t="shared" si="2"/>
        <v>0</v>
      </c>
      <c r="M27" s="47">
        <f t="shared" si="3"/>
        <v>0</v>
      </c>
      <c r="N27" s="34" t="str">
        <f t="shared" si="4"/>
        <v>—</v>
      </c>
    </row>
    <row r="28" spans="1:14" x14ac:dyDescent="0.35">
      <c r="A28" s="33">
        <v>7</v>
      </c>
      <c r="B28" s="34" t="str">
        <f t="shared" si="0"/>
        <v>Normal</v>
      </c>
      <c r="C28" s="44">
        <f>INDEX(Prices!$B$2:$D$25,A28+1,'00_Inputs'!$B$7)</f>
        <v>5.4</v>
      </c>
      <c r="D28" s="17">
        <f>C28+'00_Inputs'!$B$19</f>
        <v>9.0500000000000007</v>
      </c>
      <c r="E28" s="17">
        <f>'00_Inputs'!$B$16*IF(B28="Peak",'00_Inputs'!$B$17,IF(B28="Solar",'00_Inputs'!$B$18,1))</f>
        <v>8.44</v>
      </c>
      <c r="F28" s="45">
        <f t="shared" si="1"/>
        <v>17</v>
      </c>
      <c r="G28" s="45">
        <f>IF(B28="Peak",0,IF(AND(F28&lt;=$C$7,D28&lt;'00_Inputs'!$B$12*'00_Inputs'!$B$20),1,0))</f>
        <v>0</v>
      </c>
      <c r="H28" s="37">
        <f>IF(G28=1,MIN('00_Inputs'!$B$13,MAX(0,$C$6-SUM($H$21:H27))),0)</f>
        <v>0</v>
      </c>
      <c r="I28" s="37">
        <f>IF(B28="Peak",MIN('00_Inputs'!$B$13,J27*'00_Inputs'!$B$12),0)</f>
        <v>0</v>
      </c>
      <c r="J28" s="37">
        <f>J27+H28-I28/'00_Inputs'!$B$12</f>
        <v>16</v>
      </c>
      <c r="K28" s="46">
        <f>J28/'00_Inputs'!$B$14</f>
        <v>0.2318840579710145</v>
      </c>
      <c r="L28" s="47">
        <f t="shared" si="2"/>
        <v>0</v>
      </c>
      <c r="M28" s="47">
        <f t="shared" si="3"/>
        <v>0</v>
      </c>
      <c r="N28" s="34" t="str">
        <f t="shared" si="4"/>
        <v>—</v>
      </c>
    </row>
    <row r="29" spans="1:14" x14ac:dyDescent="0.35">
      <c r="A29" s="33">
        <v>8</v>
      </c>
      <c r="B29" s="34" t="str">
        <f t="shared" si="0"/>
        <v>Normal</v>
      </c>
      <c r="C29" s="44">
        <f>INDEX(Prices!$B$2:$D$25,A29+1,'00_Inputs'!$B$7)</f>
        <v>5.2</v>
      </c>
      <c r="D29" s="17">
        <f>C29+'00_Inputs'!$B$19</f>
        <v>8.85</v>
      </c>
      <c r="E29" s="17">
        <f>'00_Inputs'!$B$16*IF(B29="Peak",'00_Inputs'!$B$17,IF(B29="Solar",'00_Inputs'!$B$18,1))</f>
        <v>8.44</v>
      </c>
      <c r="F29" s="45">
        <f t="shared" si="1"/>
        <v>16</v>
      </c>
      <c r="G29" s="45">
        <f>IF(B29="Peak",0,IF(AND(F29&lt;=$C$7,D29&lt;'00_Inputs'!$B$12*'00_Inputs'!$B$20),1,0))</f>
        <v>0</v>
      </c>
      <c r="H29" s="37">
        <f>IF(G29=1,MIN('00_Inputs'!$B$13,MAX(0,$C$6-SUM($H$21:H28))),0)</f>
        <v>0</v>
      </c>
      <c r="I29" s="37">
        <f>IF(B29="Peak",MIN('00_Inputs'!$B$13,J28*'00_Inputs'!$B$12),0)</f>
        <v>0</v>
      </c>
      <c r="J29" s="37">
        <f>J28+H29-I29/'00_Inputs'!$B$12</f>
        <v>16</v>
      </c>
      <c r="K29" s="46">
        <f>J29/'00_Inputs'!$B$14</f>
        <v>0.2318840579710145</v>
      </c>
      <c r="L29" s="47">
        <f t="shared" si="2"/>
        <v>0</v>
      </c>
      <c r="M29" s="47">
        <f t="shared" si="3"/>
        <v>0</v>
      </c>
      <c r="N29" s="34" t="str">
        <f t="shared" si="4"/>
        <v>—</v>
      </c>
    </row>
    <row r="30" spans="1:14" x14ac:dyDescent="0.35">
      <c r="A30" s="33">
        <v>9</v>
      </c>
      <c r="B30" s="34" t="str">
        <f t="shared" si="0"/>
        <v>Solar</v>
      </c>
      <c r="C30" s="44">
        <f>INDEX(Prices!$B$2:$D$25,A30+1,'00_Inputs'!$B$7)</f>
        <v>4</v>
      </c>
      <c r="D30" s="17">
        <f>C30+'00_Inputs'!$B$19</f>
        <v>7.65</v>
      </c>
      <c r="E30" s="17">
        <f>'00_Inputs'!$B$16*IF(B30="Peak",'00_Inputs'!$B$17,IF(B30="Solar",'00_Inputs'!$B$18,1))</f>
        <v>7.1739999999999995</v>
      </c>
      <c r="F30" s="45">
        <f t="shared" si="1"/>
        <v>12</v>
      </c>
      <c r="G30" s="45">
        <f>IF(B30="Peak",0,IF(AND(F30&lt;=$C$7,D30&lt;'00_Inputs'!$B$12*'00_Inputs'!$B$20),1,0))</f>
        <v>0</v>
      </c>
      <c r="H30" s="37">
        <f>IF(G30=1,MIN('00_Inputs'!$B$13,MAX(0,$C$6-SUM($H$21:H29))),0)</f>
        <v>0</v>
      </c>
      <c r="I30" s="37">
        <f>IF(B30="Peak",MIN('00_Inputs'!$B$13,J29*'00_Inputs'!$B$12),0)</f>
        <v>0</v>
      </c>
      <c r="J30" s="37">
        <f>J29+H30-I30/'00_Inputs'!$B$12</f>
        <v>16</v>
      </c>
      <c r="K30" s="46">
        <f>J30/'00_Inputs'!$B$14</f>
        <v>0.2318840579710145</v>
      </c>
      <c r="L30" s="47">
        <f t="shared" si="2"/>
        <v>0</v>
      </c>
      <c r="M30" s="47">
        <f t="shared" si="3"/>
        <v>0</v>
      </c>
      <c r="N30" s="34" t="str">
        <f t="shared" si="4"/>
        <v>—</v>
      </c>
    </row>
    <row r="31" spans="1:14" x14ac:dyDescent="0.35">
      <c r="A31" s="33">
        <v>10</v>
      </c>
      <c r="B31" s="34" t="str">
        <f t="shared" si="0"/>
        <v>Solar</v>
      </c>
      <c r="C31" s="44">
        <f>INDEX(Prices!$B$2:$D$25,A31+1,'00_Inputs'!$B$7)</f>
        <v>3</v>
      </c>
      <c r="D31" s="17">
        <f>C31+'00_Inputs'!$B$19</f>
        <v>6.65</v>
      </c>
      <c r="E31" s="17">
        <f>'00_Inputs'!$B$16*IF(B31="Peak",'00_Inputs'!$B$17,IF(B31="Solar",'00_Inputs'!$B$18,1))</f>
        <v>7.1739999999999995</v>
      </c>
      <c r="F31" s="45">
        <f t="shared" si="1"/>
        <v>5</v>
      </c>
      <c r="G31" s="45">
        <f>IF(B31="Peak",0,IF(AND(F31&lt;=$C$7,D31&lt;'00_Inputs'!$B$12*'00_Inputs'!$B$20),1,0))</f>
        <v>1</v>
      </c>
      <c r="H31" s="37">
        <f>IF(G31=1,MIN('00_Inputs'!$B$13,MAX(0,$C$6-SUM($H$21:H30))),0)</f>
        <v>8</v>
      </c>
      <c r="I31" s="37">
        <f>IF(B31="Peak",MIN('00_Inputs'!$B$13,J30*'00_Inputs'!$B$12),0)</f>
        <v>0</v>
      </c>
      <c r="J31" s="37">
        <f>J30+H31-I31/'00_Inputs'!$B$12</f>
        <v>24</v>
      </c>
      <c r="K31" s="46">
        <f>J31/'00_Inputs'!$B$14</f>
        <v>0.34782608695652173</v>
      </c>
      <c r="L31" s="47">
        <f t="shared" si="2"/>
        <v>53200</v>
      </c>
      <c r="M31" s="47">
        <f t="shared" si="3"/>
        <v>0</v>
      </c>
      <c r="N31" s="34" t="str">
        <f t="shared" si="4"/>
        <v>CHARGE</v>
      </c>
    </row>
    <row r="32" spans="1:14" x14ac:dyDescent="0.35">
      <c r="A32" s="33">
        <v>11</v>
      </c>
      <c r="B32" s="34" t="str">
        <f t="shared" si="0"/>
        <v>Solar</v>
      </c>
      <c r="C32" s="44">
        <f>INDEX(Prices!$B$2:$D$25,A32+1,'00_Inputs'!$B$7)</f>
        <v>2.6</v>
      </c>
      <c r="D32" s="17">
        <f>C32+'00_Inputs'!$B$19</f>
        <v>6.25</v>
      </c>
      <c r="E32" s="17">
        <f>'00_Inputs'!$B$16*IF(B32="Peak",'00_Inputs'!$B$17,IF(B32="Solar",'00_Inputs'!$B$18,1))</f>
        <v>7.1739999999999995</v>
      </c>
      <c r="F32" s="45">
        <f t="shared" si="1"/>
        <v>3</v>
      </c>
      <c r="G32" s="45">
        <f>IF(B32="Peak",0,IF(AND(F32&lt;=$C$7,D32&lt;'00_Inputs'!$B$12*'00_Inputs'!$B$20),1,0))</f>
        <v>1</v>
      </c>
      <c r="H32" s="37">
        <f>IF(G32=1,MIN('00_Inputs'!$B$13,MAX(0,$C$6-SUM($H$21:H31))),0)</f>
        <v>8</v>
      </c>
      <c r="I32" s="37">
        <f>IF(B32="Peak",MIN('00_Inputs'!$B$13,J31*'00_Inputs'!$B$12),0)</f>
        <v>0</v>
      </c>
      <c r="J32" s="37">
        <f>J31+H32-I32/'00_Inputs'!$B$12</f>
        <v>32</v>
      </c>
      <c r="K32" s="46">
        <f>J32/'00_Inputs'!$B$14</f>
        <v>0.46376811594202899</v>
      </c>
      <c r="L32" s="47">
        <f t="shared" si="2"/>
        <v>50000</v>
      </c>
      <c r="M32" s="47">
        <f t="shared" si="3"/>
        <v>0</v>
      </c>
      <c r="N32" s="34" t="str">
        <f t="shared" si="4"/>
        <v>CHARGE</v>
      </c>
    </row>
    <row r="33" spans="1:14" x14ac:dyDescent="0.35">
      <c r="A33" s="33">
        <v>12</v>
      </c>
      <c r="B33" s="34" t="str">
        <f t="shared" si="0"/>
        <v>Solar</v>
      </c>
      <c r="C33" s="44">
        <f>INDEX(Prices!$B$2:$D$25,A33+1,'00_Inputs'!$B$7)</f>
        <v>2.4</v>
      </c>
      <c r="D33" s="17">
        <f>C33+'00_Inputs'!$B$19</f>
        <v>6.05</v>
      </c>
      <c r="E33" s="17">
        <f>'00_Inputs'!$B$16*IF(B33="Peak",'00_Inputs'!$B$17,IF(B33="Solar",'00_Inputs'!$B$18,1))</f>
        <v>7.1739999999999995</v>
      </c>
      <c r="F33" s="45">
        <f t="shared" si="1"/>
        <v>1</v>
      </c>
      <c r="G33" s="45">
        <f>IF(B33="Peak",0,IF(AND(F33&lt;=$C$7,D33&lt;'00_Inputs'!$B$12*'00_Inputs'!$B$20),1,0))</f>
        <v>1</v>
      </c>
      <c r="H33" s="37">
        <f>IF(G33=1,MIN('00_Inputs'!$B$13,MAX(0,$C$6-SUM($H$21:H32))),0)</f>
        <v>8</v>
      </c>
      <c r="I33" s="37">
        <f>IF(B33="Peak",MIN('00_Inputs'!$B$13,J32*'00_Inputs'!$B$12),0)</f>
        <v>0</v>
      </c>
      <c r="J33" s="37">
        <f>J32+H33-I33/'00_Inputs'!$B$12</f>
        <v>40</v>
      </c>
      <c r="K33" s="46">
        <f>J33/'00_Inputs'!$B$14</f>
        <v>0.57971014492753625</v>
      </c>
      <c r="L33" s="47">
        <f t="shared" si="2"/>
        <v>48400</v>
      </c>
      <c r="M33" s="47">
        <f t="shared" si="3"/>
        <v>0</v>
      </c>
      <c r="N33" s="34" t="str">
        <f t="shared" si="4"/>
        <v>CHARGE</v>
      </c>
    </row>
    <row r="34" spans="1:14" x14ac:dyDescent="0.35">
      <c r="A34" s="33">
        <v>13</v>
      </c>
      <c r="B34" s="34" t="str">
        <f t="shared" si="0"/>
        <v>Solar</v>
      </c>
      <c r="C34" s="44">
        <f>INDEX(Prices!$B$2:$D$25,A34+1,'00_Inputs'!$B$7)</f>
        <v>2.4</v>
      </c>
      <c r="D34" s="17">
        <f>C34+'00_Inputs'!$B$19</f>
        <v>6.05</v>
      </c>
      <c r="E34" s="17">
        <f>'00_Inputs'!$B$16*IF(B34="Peak",'00_Inputs'!$B$17,IF(B34="Solar",'00_Inputs'!$B$18,1))</f>
        <v>7.1739999999999995</v>
      </c>
      <c r="F34" s="45">
        <f t="shared" si="1"/>
        <v>1</v>
      </c>
      <c r="G34" s="45">
        <f>IF(B34="Peak",0,IF(AND(F34&lt;=$C$7,D34&lt;'00_Inputs'!$B$12*'00_Inputs'!$B$20),1,0))</f>
        <v>1</v>
      </c>
      <c r="H34" s="37">
        <f>IF(G34=1,MIN('00_Inputs'!$B$13,MAX(0,$C$6-SUM($H$21:H33))),0)</f>
        <v>8</v>
      </c>
      <c r="I34" s="37">
        <f>IF(B34="Peak",MIN('00_Inputs'!$B$13,J33*'00_Inputs'!$B$12),0)</f>
        <v>0</v>
      </c>
      <c r="J34" s="37">
        <f>J33+H34-I34/'00_Inputs'!$B$12</f>
        <v>48</v>
      </c>
      <c r="K34" s="46">
        <f>J34/'00_Inputs'!$B$14</f>
        <v>0.69565217391304346</v>
      </c>
      <c r="L34" s="47">
        <f t="shared" si="2"/>
        <v>48400</v>
      </c>
      <c r="M34" s="47">
        <f t="shared" si="3"/>
        <v>0</v>
      </c>
      <c r="N34" s="34" t="str">
        <f t="shared" si="4"/>
        <v>CHARGE</v>
      </c>
    </row>
    <row r="35" spans="1:14" x14ac:dyDescent="0.35">
      <c r="A35" s="33">
        <v>14</v>
      </c>
      <c r="B35" s="34" t="str">
        <f t="shared" si="0"/>
        <v>Solar</v>
      </c>
      <c r="C35" s="44">
        <f>INDEX(Prices!$B$2:$D$25,A35+1,'00_Inputs'!$B$7)</f>
        <v>2.6</v>
      </c>
      <c r="D35" s="17">
        <f>C35+'00_Inputs'!$B$19</f>
        <v>6.25</v>
      </c>
      <c r="E35" s="17">
        <f>'00_Inputs'!$B$16*IF(B35="Peak",'00_Inputs'!$B$17,IF(B35="Solar",'00_Inputs'!$B$18,1))</f>
        <v>7.1739999999999995</v>
      </c>
      <c r="F35" s="45">
        <f t="shared" si="1"/>
        <v>3</v>
      </c>
      <c r="G35" s="45">
        <f>IF(B35="Peak",0,IF(AND(F35&lt;=$C$7,D35&lt;'00_Inputs'!$B$12*'00_Inputs'!$B$20),1,0))</f>
        <v>1</v>
      </c>
      <c r="H35" s="37">
        <f>IF(G35=1,MIN('00_Inputs'!$B$13,MAX(0,$C$6-SUM($H$21:H34))),0)</f>
        <v>8</v>
      </c>
      <c r="I35" s="37">
        <f>IF(B35="Peak",MIN('00_Inputs'!$B$13,J34*'00_Inputs'!$B$12),0)</f>
        <v>0</v>
      </c>
      <c r="J35" s="37">
        <f>J34+H35-I35/'00_Inputs'!$B$12</f>
        <v>56</v>
      </c>
      <c r="K35" s="46">
        <f>J35/'00_Inputs'!$B$14</f>
        <v>0.81159420289855078</v>
      </c>
      <c r="L35" s="47">
        <f t="shared" si="2"/>
        <v>50000</v>
      </c>
      <c r="M35" s="47">
        <f t="shared" si="3"/>
        <v>0</v>
      </c>
      <c r="N35" s="34" t="str">
        <f t="shared" si="4"/>
        <v>CHARGE</v>
      </c>
    </row>
    <row r="36" spans="1:14" x14ac:dyDescent="0.35">
      <c r="A36" s="33">
        <v>15</v>
      </c>
      <c r="B36" s="34" t="str">
        <f t="shared" si="0"/>
        <v>Solar</v>
      </c>
      <c r="C36" s="44">
        <f>INDEX(Prices!$B$2:$D$25,A36+1,'00_Inputs'!$B$7)</f>
        <v>3.1</v>
      </c>
      <c r="D36" s="17">
        <f>C36+'00_Inputs'!$B$19</f>
        <v>6.75</v>
      </c>
      <c r="E36" s="17">
        <f>'00_Inputs'!$B$16*IF(B36="Peak",'00_Inputs'!$B$17,IF(B36="Solar",'00_Inputs'!$B$18,1))</f>
        <v>7.1739999999999995</v>
      </c>
      <c r="F36" s="45">
        <f t="shared" si="1"/>
        <v>6</v>
      </c>
      <c r="G36" s="45">
        <f>IF(B36="Peak",0,IF(AND(F36&lt;=$C$7,D36&lt;'00_Inputs'!$B$12*'00_Inputs'!$B$20),1,0))</f>
        <v>1</v>
      </c>
      <c r="H36" s="37">
        <f>IF(G36=1,MIN('00_Inputs'!$B$13,MAX(0,$C$6-SUM($H$21:H35))),0)</f>
        <v>7.6363636363636331</v>
      </c>
      <c r="I36" s="37">
        <f>IF(B36="Peak",MIN('00_Inputs'!$B$13,J35*'00_Inputs'!$B$12),0)</f>
        <v>0</v>
      </c>
      <c r="J36" s="37">
        <f>J35+H36-I36/'00_Inputs'!$B$12</f>
        <v>63.636363636363633</v>
      </c>
      <c r="K36" s="46">
        <f>J36/'00_Inputs'!$B$14</f>
        <v>0.92226613965744397</v>
      </c>
      <c r="L36" s="47">
        <f t="shared" si="2"/>
        <v>51545.454545454522</v>
      </c>
      <c r="M36" s="47">
        <f t="shared" si="3"/>
        <v>0</v>
      </c>
      <c r="N36" s="34" t="str">
        <f t="shared" si="4"/>
        <v>CHARGE</v>
      </c>
    </row>
    <row r="37" spans="1:14" x14ac:dyDescent="0.35">
      <c r="A37" s="33">
        <v>16</v>
      </c>
      <c r="B37" s="34" t="str">
        <f t="shared" si="0"/>
        <v>Solar</v>
      </c>
      <c r="C37" s="44">
        <f>INDEX(Prices!$B$2:$D$25,A37+1,'00_Inputs'!$B$7)</f>
        <v>4</v>
      </c>
      <c r="D37" s="17">
        <f>C37+'00_Inputs'!$B$19</f>
        <v>7.65</v>
      </c>
      <c r="E37" s="17">
        <f>'00_Inputs'!$B$16*IF(B37="Peak",'00_Inputs'!$B$17,IF(B37="Solar",'00_Inputs'!$B$18,1))</f>
        <v>7.1739999999999995</v>
      </c>
      <c r="F37" s="45">
        <f t="shared" si="1"/>
        <v>12</v>
      </c>
      <c r="G37" s="45">
        <f>IF(B37="Peak",0,IF(AND(F37&lt;=$C$7,D37&lt;'00_Inputs'!$B$12*'00_Inputs'!$B$20),1,0))</f>
        <v>0</v>
      </c>
      <c r="H37" s="37">
        <f>IF(G37=1,MIN('00_Inputs'!$B$13,MAX(0,$C$6-SUM($H$21:H36))),0)</f>
        <v>0</v>
      </c>
      <c r="I37" s="37">
        <f>IF(B37="Peak",MIN('00_Inputs'!$B$13,J36*'00_Inputs'!$B$12),0)</f>
        <v>0</v>
      </c>
      <c r="J37" s="37">
        <f>J36+H37-I37/'00_Inputs'!$B$12</f>
        <v>63.636363636363633</v>
      </c>
      <c r="K37" s="46">
        <f>J37/'00_Inputs'!$B$14</f>
        <v>0.92226613965744397</v>
      </c>
      <c r="L37" s="47">
        <f t="shared" si="2"/>
        <v>0</v>
      </c>
      <c r="M37" s="47">
        <f t="shared" si="3"/>
        <v>0</v>
      </c>
      <c r="N37" s="34" t="str">
        <f t="shared" si="4"/>
        <v>—</v>
      </c>
    </row>
    <row r="38" spans="1:14" x14ac:dyDescent="0.35">
      <c r="A38" s="33">
        <v>17</v>
      </c>
      <c r="B38" s="34" t="str">
        <f t="shared" si="0"/>
        <v>Peak</v>
      </c>
      <c r="C38" s="44">
        <f>INDEX(Prices!$B$2:$D$25,A38+1,'00_Inputs'!$B$7)</f>
        <v>5.6</v>
      </c>
      <c r="D38" s="17">
        <f>C38+'00_Inputs'!$B$19</f>
        <v>9.25</v>
      </c>
      <c r="E38" s="17">
        <f>'00_Inputs'!$B$16*IF(B38="Peak",'00_Inputs'!$B$17,IF(B38="Solar",'00_Inputs'!$B$18,1))</f>
        <v>10.127999999999998</v>
      </c>
      <c r="F38" s="45" t="str">
        <f t="shared" si="1"/>
        <v/>
      </c>
      <c r="G38" s="45">
        <f>IF(B38="Peak",0,IF(AND(F38&lt;=$C$7,D38&lt;'00_Inputs'!$B$12*'00_Inputs'!$B$20),1,0))</f>
        <v>0</v>
      </c>
      <c r="H38" s="37">
        <f>IF(G38=1,MIN('00_Inputs'!$B$13,MAX(0,$C$6-SUM($H$21:H37))),0)</f>
        <v>0</v>
      </c>
      <c r="I38" s="37">
        <f>IF(B38="Peak",MIN('00_Inputs'!$B$13,J37*'00_Inputs'!$B$12),0)</f>
        <v>8</v>
      </c>
      <c r="J38" s="37">
        <f>J37+H38-I38/'00_Inputs'!$B$12</f>
        <v>54.54545454545454</v>
      </c>
      <c r="K38" s="46">
        <f>J38/'00_Inputs'!$B$14</f>
        <v>0.79051383399209474</v>
      </c>
      <c r="L38" s="47">
        <f t="shared" si="2"/>
        <v>0</v>
      </c>
      <c r="M38" s="47">
        <f t="shared" si="3"/>
        <v>81023.999999999985</v>
      </c>
      <c r="N38" s="34" t="str">
        <f t="shared" si="4"/>
        <v>DISCHARGE</v>
      </c>
    </row>
    <row r="39" spans="1:14" x14ac:dyDescent="0.35">
      <c r="A39" s="33">
        <v>18</v>
      </c>
      <c r="B39" s="34" t="str">
        <f t="shared" si="0"/>
        <v>Peak</v>
      </c>
      <c r="C39" s="44">
        <f>INDEX(Prices!$B$2:$D$25,A39+1,'00_Inputs'!$B$7)</f>
        <v>7.2</v>
      </c>
      <c r="D39" s="17">
        <f>C39+'00_Inputs'!$B$19</f>
        <v>10.85</v>
      </c>
      <c r="E39" s="17">
        <f>'00_Inputs'!$B$16*IF(B39="Peak",'00_Inputs'!$B$17,IF(B39="Solar",'00_Inputs'!$B$18,1))</f>
        <v>10.127999999999998</v>
      </c>
      <c r="F39" s="45" t="str">
        <f t="shared" si="1"/>
        <v/>
      </c>
      <c r="G39" s="45">
        <f>IF(B39="Peak",0,IF(AND(F39&lt;=$C$7,D39&lt;'00_Inputs'!$B$12*'00_Inputs'!$B$20),1,0))</f>
        <v>0</v>
      </c>
      <c r="H39" s="37">
        <f>IF(G39=1,MIN('00_Inputs'!$B$13,MAX(0,$C$6-SUM($H$21:H38))),0)</f>
        <v>0</v>
      </c>
      <c r="I39" s="37">
        <f>IF(B39="Peak",MIN('00_Inputs'!$B$13,J38*'00_Inputs'!$B$12),0)</f>
        <v>8</v>
      </c>
      <c r="J39" s="37">
        <f>J38+H39-I39/'00_Inputs'!$B$12</f>
        <v>45.454545454545446</v>
      </c>
      <c r="K39" s="46">
        <f>J39/'00_Inputs'!$B$14</f>
        <v>0.65876152832674562</v>
      </c>
      <c r="L39" s="47">
        <f t="shared" si="2"/>
        <v>0</v>
      </c>
      <c r="M39" s="47">
        <f t="shared" si="3"/>
        <v>81023.999999999985</v>
      </c>
      <c r="N39" s="34" t="str">
        <f t="shared" si="4"/>
        <v>DISCHARGE</v>
      </c>
    </row>
    <row r="40" spans="1:14" x14ac:dyDescent="0.35">
      <c r="A40" s="33">
        <v>19</v>
      </c>
      <c r="B40" s="34" t="str">
        <f t="shared" si="0"/>
        <v>Peak</v>
      </c>
      <c r="C40" s="44">
        <f>INDEX(Prices!$B$2:$D$25,A40+1,'00_Inputs'!$B$7)</f>
        <v>8.5</v>
      </c>
      <c r="D40" s="17">
        <f>C40+'00_Inputs'!$B$19</f>
        <v>12.15</v>
      </c>
      <c r="E40" s="17">
        <f>'00_Inputs'!$B$16*IF(B40="Peak",'00_Inputs'!$B$17,IF(B40="Solar",'00_Inputs'!$B$18,1))</f>
        <v>10.127999999999998</v>
      </c>
      <c r="F40" s="45" t="str">
        <f t="shared" si="1"/>
        <v/>
      </c>
      <c r="G40" s="45">
        <f>IF(B40="Peak",0,IF(AND(F40&lt;=$C$7,D40&lt;'00_Inputs'!$B$12*'00_Inputs'!$B$20),1,0))</f>
        <v>0</v>
      </c>
      <c r="H40" s="37">
        <f>IF(G40=1,MIN('00_Inputs'!$B$13,MAX(0,$C$6-SUM($H$21:H39))),0)</f>
        <v>0</v>
      </c>
      <c r="I40" s="37">
        <f>IF(B40="Peak",MIN('00_Inputs'!$B$13,J39*'00_Inputs'!$B$12),0)</f>
        <v>8</v>
      </c>
      <c r="J40" s="37">
        <f>J39+H40-I40/'00_Inputs'!$B$12</f>
        <v>36.363636363636353</v>
      </c>
      <c r="K40" s="46">
        <f>J40/'00_Inputs'!$B$14</f>
        <v>0.52700922266139638</v>
      </c>
      <c r="L40" s="47">
        <f t="shared" si="2"/>
        <v>0</v>
      </c>
      <c r="M40" s="47">
        <f t="shared" si="3"/>
        <v>81023.999999999985</v>
      </c>
      <c r="N40" s="34" t="str">
        <f t="shared" si="4"/>
        <v>DISCHARGE</v>
      </c>
    </row>
    <row r="41" spans="1:14" x14ac:dyDescent="0.35">
      <c r="A41" s="33">
        <v>20</v>
      </c>
      <c r="B41" s="34" t="str">
        <f t="shared" si="0"/>
        <v>Peak</v>
      </c>
      <c r="C41" s="44">
        <f>INDEX(Prices!$B$2:$D$25,A41+1,'00_Inputs'!$B$7)</f>
        <v>8.9</v>
      </c>
      <c r="D41" s="17">
        <f>C41+'00_Inputs'!$B$19</f>
        <v>12.55</v>
      </c>
      <c r="E41" s="17">
        <f>'00_Inputs'!$B$16*IF(B41="Peak",'00_Inputs'!$B$17,IF(B41="Solar",'00_Inputs'!$B$18,1))</f>
        <v>10.127999999999998</v>
      </c>
      <c r="F41" s="45" t="str">
        <f t="shared" si="1"/>
        <v/>
      </c>
      <c r="G41" s="45">
        <f>IF(B41="Peak",0,IF(AND(F41&lt;=$C$7,D41&lt;'00_Inputs'!$B$12*'00_Inputs'!$B$20),1,0))</f>
        <v>0</v>
      </c>
      <c r="H41" s="37">
        <f>IF(G41=1,MIN('00_Inputs'!$B$13,MAX(0,$C$6-SUM($H$21:H40))),0)</f>
        <v>0</v>
      </c>
      <c r="I41" s="37">
        <f>IF(B41="Peak",MIN('00_Inputs'!$B$13,J40*'00_Inputs'!$B$12),0)</f>
        <v>8</v>
      </c>
      <c r="J41" s="37">
        <f>J40+H41-I41/'00_Inputs'!$B$12</f>
        <v>27.272727272727259</v>
      </c>
      <c r="K41" s="46">
        <f>J41/'00_Inputs'!$B$14</f>
        <v>0.39525691699604726</v>
      </c>
      <c r="L41" s="47">
        <f t="shared" si="2"/>
        <v>0</v>
      </c>
      <c r="M41" s="47">
        <f t="shared" si="3"/>
        <v>81023.999999999985</v>
      </c>
      <c r="N41" s="34" t="str">
        <f t="shared" si="4"/>
        <v>DISCHARGE</v>
      </c>
    </row>
    <row r="42" spans="1:14" x14ac:dyDescent="0.35">
      <c r="A42" s="33">
        <v>21</v>
      </c>
      <c r="B42" s="34" t="str">
        <f t="shared" si="0"/>
        <v>Peak</v>
      </c>
      <c r="C42" s="44">
        <f>INDEX(Prices!$B$2:$D$25,A42+1,'00_Inputs'!$B$7)</f>
        <v>7.8</v>
      </c>
      <c r="D42" s="17">
        <f>C42+'00_Inputs'!$B$19</f>
        <v>11.45</v>
      </c>
      <c r="E42" s="17">
        <f>'00_Inputs'!$B$16*IF(B42="Peak",'00_Inputs'!$B$17,IF(B42="Solar",'00_Inputs'!$B$18,1))</f>
        <v>10.127999999999998</v>
      </c>
      <c r="F42" s="45" t="str">
        <f t="shared" si="1"/>
        <v/>
      </c>
      <c r="G42" s="45">
        <f>IF(B42="Peak",0,IF(AND(F42&lt;=$C$7,D42&lt;'00_Inputs'!$B$12*'00_Inputs'!$B$20),1,0))</f>
        <v>0</v>
      </c>
      <c r="H42" s="37">
        <f>IF(G42=1,MIN('00_Inputs'!$B$13,MAX(0,$C$6-SUM($H$21:H41))),0)</f>
        <v>0</v>
      </c>
      <c r="I42" s="37">
        <f>IF(B42="Peak",MIN('00_Inputs'!$B$13,J41*'00_Inputs'!$B$12),0)</f>
        <v>8</v>
      </c>
      <c r="J42" s="37">
        <f>J41+H42-I42/'00_Inputs'!$B$12</f>
        <v>18.181818181818166</v>
      </c>
      <c r="K42" s="46">
        <f>J42/'00_Inputs'!$B$14</f>
        <v>0.26350461133069808</v>
      </c>
      <c r="L42" s="47">
        <f t="shared" si="2"/>
        <v>0</v>
      </c>
      <c r="M42" s="47">
        <f t="shared" si="3"/>
        <v>81023.999999999985</v>
      </c>
      <c r="N42" s="34" t="str">
        <f t="shared" si="4"/>
        <v>DISCHARGE</v>
      </c>
    </row>
    <row r="43" spans="1:14" x14ac:dyDescent="0.35">
      <c r="A43" s="33">
        <v>22</v>
      </c>
      <c r="B43" s="34" t="str">
        <f t="shared" si="0"/>
        <v>Peak</v>
      </c>
      <c r="C43" s="44">
        <f>INDEX(Prices!$B$2:$D$25,A43+1,'00_Inputs'!$B$7)</f>
        <v>6.2</v>
      </c>
      <c r="D43" s="17">
        <f>C43+'00_Inputs'!$B$19</f>
        <v>9.85</v>
      </c>
      <c r="E43" s="17">
        <f>'00_Inputs'!$B$16*IF(B43="Peak",'00_Inputs'!$B$17,IF(B43="Solar",'00_Inputs'!$B$18,1))</f>
        <v>10.127999999999998</v>
      </c>
      <c r="F43" s="45" t="str">
        <f t="shared" si="1"/>
        <v/>
      </c>
      <c r="G43" s="45">
        <f>IF(B43="Peak",0,IF(AND(F43&lt;=$C$7,D43&lt;'00_Inputs'!$B$12*'00_Inputs'!$B$20),1,0))</f>
        <v>0</v>
      </c>
      <c r="H43" s="37">
        <f>IF(G43=1,MIN('00_Inputs'!$B$13,MAX(0,$C$6-SUM($H$21:H42))),0)</f>
        <v>0</v>
      </c>
      <c r="I43" s="37">
        <f>IF(B43="Peak",MIN('00_Inputs'!$B$13,J42*'00_Inputs'!$B$12),0)</f>
        <v>8</v>
      </c>
      <c r="J43" s="37">
        <f>J42+H43-I43/'00_Inputs'!$B$12</f>
        <v>9.090909090909074</v>
      </c>
      <c r="K43" s="46">
        <f>J43/'00_Inputs'!$B$14</f>
        <v>0.1317523056653489</v>
      </c>
      <c r="L43" s="47">
        <f t="shared" si="2"/>
        <v>0</v>
      </c>
      <c r="M43" s="47">
        <f t="shared" si="3"/>
        <v>81023.999999999985</v>
      </c>
      <c r="N43" s="34" t="str">
        <f t="shared" si="4"/>
        <v>DISCHARGE</v>
      </c>
    </row>
    <row r="44" spans="1:14" x14ac:dyDescent="0.35">
      <c r="A44" s="33">
        <v>23</v>
      </c>
      <c r="B44" s="34" t="str">
        <f t="shared" si="0"/>
        <v>Peak</v>
      </c>
      <c r="C44" s="44">
        <f>INDEX(Prices!$B$2:$D$25,A44+1,'00_Inputs'!$B$7)</f>
        <v>5</v>
      </c>
      <c r="D44" s="17">
        <f>C44+'00_Inputs'!$B$19</f>
        <v>8.65</v>
      </c>
      <c r="E44" s="17">
        <f>'00_Inputs'!$B$16*IF(B44="Peak",'00_Inputs'!$B$17,IF(B44="Solar",'00_Inputs'!$B$18,1))</f>
        <v>10.127999999999998</v>
      </c>
      <c r="F44" s="45" t="str">
        <f t="shared" si="1"/>
        <v/>
      </c>
      <c r="G44" s="45">
        <f>IF(B44="Peak",0,IF(AND(F44&lt;=$C$7,D44&lt;'00_Inputs'!$B$12*'00_Inputs'!$B$20),1,0))</f>
        <v>0</v>
      </c>
      <c r="H44" s="37">
        <f>IF(G44=1,MIN('00_Inputs'!$B$13,MAX(0,$C$6-SUM($H$21:H43))),0)</f>
        <v>0</v>
      </c>
      <c r="I44" s="37">
        <f>IF(B44="Peak",MIN('00_Inputs'!$B$13,J43*'00_Inputs'!$B$12),0)</f>
        <v>7.9999999999999849</v>
      </c>
      <c r="J44" s="37">
        <f>J43+H44-I44/'00_Inputs'!$B$12</f>
        <v>0</v>
      </c>
      <c r="K44" s="46">
        <f>J44/'00_Inputs'!$B$14</f>
        <v>0</v>
      </c>
      <c r="L44" s="47">
        <f t="shared" si="2"/>
        <v>0</v>
      </c>
      <c r="M44" s="47">
        <f t="shared" si="3"/>
        <v>81023.999999999825</v>
      </c>
      <c r="N44" s="34" t="str">
        <f t="shared" si="4"/>
        <v>DISCHARGE</v>
      </c>
    </row>
    <row r="46" spans="1:14" x14ac:dyDescent="0.35">
      <c r="A46" s="3" t="s">
        <v>114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7"/>
  <sheetViews>
    <sheetView showGridLines="0" workbookViewId="0"/>
  </sheetViews>
  <sheetFormatPr defaultRowHeight="14.5" x14ac:dyDescent="0.35"/>
  <cols>
    <col min="1" max="1" width="36" customWidth="1"/>
    <col min="2" max="2" width="13" customWidth="1"/>
    <col min="3" max="15" width="11" customWidth="1"/>
  </cols>
  <sheetData>
    <row r="1" spans="1:4" x14ac:dyDescent="0.35">
      <c r="A1" s="1" t="s">
        <v>115</v>
      </c>
    </row>
    <row r="2" spans="1:4" ht="16.5" x14ac:dyDescent="0.35">
      <c r="A2" s="2" t="s">
        <v>116</v>
      </c>
    </row>
    <row r="4" spans="1:4" x14ac:dyDescent="0.35">
      <c r="A4" s="4" t="s">
        <v>117</v>
      </c>
      <c r="B4" s="5"/>
      <c r="C4" s="5"/>
      <c r="D4" s="5"/>
    </row>
    <row r="5" spans="1:4" x14ac:dyDescent="0.35">
      <c r="A5" s="6" t="s">
        <v>118</v>
      </c>
      <c r="B5" s="41">
        <f>C24</f>
        <v>8.0333189999999917</v>
      </c>
    </row>
    <row r="6" spans="1:4" x14ac:dyDescent="0.35">
      <c r="A6" s="6" t="s">
        <v>119</v>
      </c>
      <c r="B6" s="29">
        <f>'00_Inputs'!$B$14*'00_Inputs'!$B$30*1.05</f>
        <v>79.695000000000007</v>
      </c>
      <c r="D6" s="3" t="s">
        <v>120</v>
      </c>
    </row>
    <row r="7" spans="1:4" x14ac:dyDescent="0.35">
      <c r="A7" s="6" t="s">
        <v>121</v>
      </c>
      <c r="B7" s="31" t="str">
        <f>IF(N25&gt;=0,"Y"&amp;(COUNTIF($C$25:$N$25,"&lt;0")+1),"&gt;12 yrs")</f>
        <v>Y12</v>
      </c>
    </row>
    <row r="8" spans="1:4" x14ac:dyDescent="0.35">
      <c r="A8" s="6" t="s">
        <v>122</v>
      </c>
      <c r="B8" s="48">
        <f>IFERROR(IRR(B24:N24),"n/a")</f>
        <v>1.1651251084825232E-2</v>
      </c>
    </row>
    <row r="9" spans="1:4" x14ac:dyDescent="0.35">
      <c r="A9" s="6" t="s">
        <v>123</v>
      </c>
      <c r="B9" s="29">
        <f>B24+NPV('00_Inputs'!$B$34,C24:N24)</f>
        <v>-34.167688392964187</v>
      </c>
    </row>
    <row r="11" spans="1:4" x14ac:dyDescent="0.35">
      <c r="A11" s="4" t="s">
        <v>124</v>
      </c>
      <c r="B11" s="5"/>
      <c r="C11" s="5"/>
      <c r="D11" s="5"/>
    </row>
    <row r="12" spans="1:4" x14ac:dyDescent="0.35">
      <c r="A12" s="6" t="s">
        <v>125</v>
      </c>
      <c r="B12" s="49">
        <f>'02_Dispatch'!$C$13</f>
        <v>4.9639439999999926</v>
      </c>
    </row>
    <row r="13" spans="1:4" x14ac:dyDescent="0.35">
      <c r="A13" s="6" t="s">
        <v>126</v>
      </c>
      <c r="B13" s="29">
        <f>'00_Inputs'!$B$36*'00_Inputs'!$B$37*12/10000000</f>
        <v>2.7</v>
      </c>
      <c r="D13" s="3" t="s">
        <v>127</v>
      </c>
    </row>
    <row r="14" spans="1:4" x14ac:dyDescent="0.35">
      <c r="A14" s="6" t="s">
        <v>128</v>
      </c>
      <c r="B14" s="29">
        <f>'00_Inputs'!$B$38*'00_Inputs'!$B$13*1000*('00_Inputs'!$B$39-'00_Inputs'!$B$16)/10000000</f>
        <v>1.5648000000000002</v>
      </c>
      <c r="D14" s="3" t="s">
        <v>129</v>
      </c>
    </row>
    <row r="15" spans="1:4" x14ac:dyDescent="0.35">
      <c r="A15" s="31" t="s">
        <v>130</v>
      </c>
      <c r="B15" s="50">
        <f>SUM(B12:B14)</f>
        <v>9.2287439999999936</v>
      </c>
    </row>
    <row r="16" spans="1:4" x14ac:dyDescent="0.35">
      <c r="A16" s="6" t="s">
        <v>131</v>
      </c>
      <c r="B16" s="29">
        <f>-B6*'00_Inputs'!$B$31</f>
        <v>-1.195425</v>
      </c>
    </row>
    <row r="17" spans="1:15" x14ac:dyDescent="0.35">
      <c r="A17" s="31" t="s">
        <v>132</v>
      </c>
      <c r="B17" s="50">
        <f>B15+B16</f>
        <v>8.0333189999999934</v>
      </c>
    </row>
    <row r="19" spans="1:15" x14ac:dyDescent="0.35">
      <c r="A19" s="4" t="s">
        <v>133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35">
      <c r="A20" s="32" t="s">
        <v>134</v>
      </c>
      <c r="B20" s="32" t="s">
        <v>135</v>
      </c>
      <c r="C20" s="32" t="s">
        <v>136</v>
      </c>
      <c r="D20" s="32" t="s">
        <v>137</v>
      </c>
      <c r="E20" s="32" t="s">
        <v>138</v>
      </c>
      <c r="F20" s="32" t="s">
        <v>139</v>
      </c>
      <c r="G20" s="32" t="s">
        <v>140</v>
      </c>
      <c r="H20" s="32" t="s">
        <v>141</v>
      </c>
      <c r="I20" s="32" t="s">
        <v>142</v>
      </c>
      <c r="J20" s="32" t="s">
        <v>143</v>
      </c>
      <c r="K20" s="32" t="s">
        <v>144</v>
      </c>
      <c r="L20" s="32" t="s">
        <v>145</v>
      </c>
      <c r="M20" s="32" t="s">
        <v>146</v>
      </c>
      <c r="N20" s="32" t="s">
        <v>147</v>
      </c>
    </row>
    <row r="21" spans="1:15" x14ac:dyDescent="0.35">
      <c r="A21" s="6" t="s">
        <v>148</v>
      </c>
      <c r="C21" s="51">
        <f>'02_Dispatch'!$C$13*(1-'00_Inputs'!$B$33)^(1-1)</f>
        <v>4.9639439999999926</v>
      </c>
      <c r="D21" s="52">
        <f>'02_Dispatch'!$C$13*(1-'00_Inputs'!$B$33)^(2-1)</f>
        <v>4.8646651199999926</v>
      </c>
      <c r="E21" s="52">
        <f>'02_Dispatch'!$C$13*(1-'00_Inputs'!$B$33)^(3-1)</f>
        <v>4.7673718175999928</v>
      </c>
      <c r="F21" s="52">
        <f>'02_Dispatch'!$C$13*(1-'00_Inputs'!$B$33)^(4-1)</f>
        <v>4.6720243812479927</v>
      </c>
      <c r="G21" s="52">
        <f>'02_Dispatch'!$C$13*(1-'00_Inputs'!$B$33)^(5-1)</f>
        <v>4.5785838936230325</v>
      </c>
      <c r="H21" s="52">
        <f>'02_Dispatch'!$C$13*(1-'00_Inputs'!$B$33)^(6-1)</f>
        <v>4.4870122157505712</v>
      </c>
      <c r="I21" s="52">
        <f>'02_Dispatch'!$C$13*(1-'00_Inputs'!$B$33)^(7-1)</f>
        <v>4.3972719714355604</v>
      </c>
      <c r="J21" s="52">
        <f>'02_Dispatch'!$C$13*(1-'00_Inputs'!$B$33)^(8-1)</f>
        <v>4.3093265320068488</v>
      </c>
      <c r="K21" s="52">
        <f>'02_Dispatch'!$C$13*(1-'00_Inputs'!$B$33)^(9-1)</f>
        <v>4.223140001366712</v>
      </c>
      <c r="L21" s="52">
        <f>'02_Dispatch'!$C$13*(1-'00_Inputs'!$B$33)^(10-1)</f>
        <v>4.1386772013393776</v>
      </c>
      <c r="M21" s="52">
        <f>'02_Dispatch'!$C$13*(1-'00_Inputs'!$B$33)^(11-1)</f>
        <v>4.0559036573125891</v>
      </c>
      <c r="N21" s="52">
        <f>'02_Dispatch'!$C$13*(1-'00_Inputs'!$B$33)^(12-1)</f>
        <v>3.9747855841663378</v>
      </c>
    </row>
    <row r="22" spans="1:15" x14ac:dyDescent="0.35">
      <c r="A22" s="6" t="s">
        <v>149</v>
      </c>
      <c r="C22" s="52">
        <f t="shared" ref="C22:N22" si="0">$B$13+$B$14</f>
        <v>4.2648000000000001</v>
      </c>
      <c r="D22" s="52">
        <f t="shared" si="0"/>
        <v>4.2648000000000001</v>
      </c>
      <c r="E22" s="52">
        <f t="shared" si="0"/>
        <v>4.2648000000000001</v>
      </c>
      <c r="F22" s="52">
        <f t="shared" si="0"/>
        <v>4.2648000000000001</v>
      </c>
      <c r="G22" s="52">
        <f t="shared" si="0"/>
        <v>4.2648000000000001</v>
      </c>
      <c r="H22" s="52">
        <f t="shared" si="0"/>
        <v>4.2648000000000001</v>
      </c>
      <c r="I22" s="52">
        <f t="shared" si="0"/>
        <v>4.2648000000000001</v>
      </c>
      <c r="J22" s="52">
        <f t="shared" si="0"/>
        <v>4.2648000000000001</v>
      </c>
      <c r="K22" s="52">
        <f t="shared" si="0"/>
        <v>4.2648000000000001</v>
      </c>
      <c r="L22" s="52">
        <f t="shared" si="0"/>
        <v>4.2648000000000001</v>
      </c>
      <c r="M22" s="52">
        <f t="shared" si="0"/>
        <v>4.2648000000000001</v>
      </c>
      <c r="N22" s="52">
        <f t="shared" si="0"/>
        <v>4.2648000000000001</v>
      </c>
    </row>
    <row r="23" spans="1:15" x14ac:dyDescent="0.35">
      <c r="A23" s="6" t="s">
        <v>150</v>
      </c>
      <c r="C23" s="52">
        <f>-$B$6*'00_Inputs'!$B$31*1.05^(1-1)</f>
        <v>-1.195425</v>
      </c>
      <c r="D23" s="52">
        <f>-$B$6*'00_Inputs'!$B$31*1.05^(2-1)</f>
        <v>-1.25519625</v>
      </c>
      <c r="E23" s="52">
        <f>-$B$6*'00_Inputs'!$B$31*1.05^(3-1)</f>
        <v>-1.3179560625</v>
      </c>
      <c r="F23" s="52">
        <f>-$B$6*'00_Inputs'!$B$31*1.05^(4-1)</f>
        <v>-1.3838538656250001</v>
      </c>
      <c r="G23" s="52">
        <f>-$B$6*'00_Inputs'!$B$31*1.05^(5-1)</f>
        <v>-1.45304655890625</v>
      </c>
      <c r="H23" s="52">
        <f>-$B$6*'00_Inputs'!$B$31*1.05^(6-1)</f>
        <v>-1.5256988868515626</v>
      </c>
      <c r="I23" s="52">
        <f>-$B$6*'00_Inputs'!$B$31*1.05^(7-1)</f>
        <v>-1.6019838311941406</v>
      </c>
      <c r="J23" s="52">
        <f>-$B$6*'00_Inputs'!$B$31*1.05^(8-1)</f>
        <v>-1.6820830227538479</v>
      </c>
      <c r="K23" s="52">
        <f>-$B$6*'00_Inputs'!$B$31*1.05^(9-1)</f>
        <v>-1.76618717389154</v>
      </c>
      <c r="L23" s="52">
        <f>-$B$6*'00_Inputs'!$B$31*1.05^(10-1)</f>
        <v>-1.8544965325861171</v>
      </c>
      <c r="M23" s="52">
        <f>-$B$6*'00_Inputs'!$B$31*1.05^(11-1)</f>
        <v>-1.9472213592154231</v>
      </c>
      <c r="N23" s="52">
        <f>-$B$6*'00_Inputs'!$B$31*1.05^(12-1)</f>
        <v>-2.0445824271761945</v>
      </c>
    </row>
    <row r="24" spans="1:15" x14ac:dyDescent="0.35">
      <c r="A24" s="31" t="s">
        <v>151</v>
      </c>
      <c r="B24" s="52">
        <f>-B6</f>
        <v>-79.695000000000007</v>
      </c>
      <c r="C24" s="53">
        <f t="shared" ref="C24:N24" si="1">C21+C22+C23</f>
        <v>8.0333189999999917</v>
      </c>
      <c r="D24" s="53">
        <f t="shared" si="1"/>
        <v>7.8742688699999919</v>
      </c>
      <c r="E24" s="53">
        <f t="shared" si="1"/>
        <v>7.7142157550999926</v>
      </c>
      <c r="F24" s="53">
        <f t="shared" si="1"/>
        <v>7.5529705156229925</v>
      </c>
      <c r="G24" s="53">
        <f t="shared" si="1"/>
        <v>7.3903373347167829</v>
      </c>
      <c r="H24" s="53">
        <f t="shared" si="1"/>
        <v>7.2261133288990091</v>
      </c>
      <c r="I24" s="53">
        <f t="shared" si="1"/>
        <v>7.0600881402414197</v>
      </c>
      <c r="J24" s="53">
        <f t="shared" si="1"/>
        <v>6.8920435092530008</v>
      </c>
      <c r="K24" s="53">
        <f t="shared" si="1"/>
        <v>6.7217528274751732</v>
      </c>
      <c r="L24" s="53">
        <f t="shared" si="1"/>
        <v>6.548980668753261</v>
      </c>
      <c r="M24" s="53">
        <f t="shared" si="1"/>
        <v>6.3734822980971657</v>
      </c>
      <c r="N24" s="53">
        <f t="shared" si="1"/>
        <v>6.1950031569901434</v>
      </c>
    </row>
    <row r="25" spans="1:15" x14ac:dyDescent="0.35">
      <c r="A25" s="31" t="s">
        <v>152</v>
      </c>
      <c r="B25" s="52">
        <f>B24</f>
        <v>-79.695000000000007</v>
      </c>
      <c r="C25" s="53">
        <f t="shared" ref="C25:N25" si="2">B25+C24</f>
        <v>-71.661681000000016</v>
      </c>
      <c r="D25" s="53">
        <f t="shared" si="2"/>
        <v>-63.787412130000021</v>
      </c>
      <c r="E25" s="53">
        <f t="shared" si="2"/>
        <v>-56.073196374900029</v>
      </c>
      <c r="F25" s="53">
        <f t="shared" si="2"/>
        <v>-48.520225859277033</v>
      </c>
      <c r="G25" s="53">
        <f t="shared" si="2"/>
        <v>-41.129888524560251</v>
      </c>
      <c r="H25" s="53">
        <f t="shared" si="2"/>
        <v>-33.90377519566124</v>
      </c>
      <c r="I25" s="53">
        <f t="shared" si="2"/>
        <v>-26.843687055419821</v>
      </c>
      <c r="J25" s="53">
        <f t="shared" si="2"/>
        <v>-19.951643546166821</v>
      </c>
      <c r="K25" s="53">
        <f t="shared" si="2"/>
        <v>-13.229890718691648</v>
      </c>
      <c r="L25" s="53">
        <f t="shared" si="2"/>
        <v>-6.6809100499383867</v>
      </c>
      <c r="M25" s="53">
        <f t="shared" si="2"/>
        <v>-0.30742775184122095</v>
      </c>
      <c r="N25" s="53">
        <f t="shared" si="2"/>
        <v>5.8875754051489224</v>
      </c>
    </row>
    <row r="27" spans="1:15" x14ac:dyDescent="0.35">
      <c r="A27" s="3" t="s">
        <v>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7"/>
  <sheetViews>
    <sheetView showGridLines="0" workbookViewId="0"/>
  </sheetViews>
  <sheetFormatPr defaultRowHeight="14.5" x14ac:dyDescent="0.35"/>
  <cols>
    <col min="1" max="1" width="8" customWidth="1"/>
    <col min="2" max="4" width="24" customWidth="1"/>
  </cols>
  <sheetData>
    <row r="1" spans="1:4" x14ac:dyDescent="0.35">
      <c r="A1" s="32" t="s">
        <v>71</v>
      </c>
      <c r="B1" s="32" t="s">
        <v>154</v>
      </c>
      <c r="C1" s="32" t="s">
        <v>155</v>
      </c>
      <c r="D1" s="32" t="s">
        <v>156</v>
      </c>
    </row>
    <row r="2" spans="1:4" x14ac:dyDescent="0.35">
      <c r="A2" s="33">
        <v>0</v>
      </c>
      <c r="B2" s="54">
        <v>4.2</v>
      </c>
      <c r="C2" s="54">
        <v>5</v>
      </c>
      <c r="D2" s="54">
        <v>3.8</v>
      </c>
    </row>
    <row r="3" spans="1:4" x14ac:dyDescent="0.35">
      <c r="A3" s="33">
        <v>1</v>
      </c>
      <c r="B3" s="54">
        <v>3.9</v>
      </c>
      <c r="C3" s="54">
        <v>4.5999999999999996</v>
      </c>
      <c r="D3" s="54">
        <v>3.6</v>
      </c>
    </row>
    <row r="4" spans="1:4" x14ac:dyDescent="0.35">
      <c r="A4" s="33">
        <v>2</v>
      </c>
      <c r="B4" s="54">
        <v>3.7</v>
      </c>
      <c r="C4" s="54">
        <v>4.4000000000000004</v>
      </c>
      <c r="D4" s="54">
        <v>3.5</v>
      </c>
    </row>
    <row r="5" spans="1:4" x14ac:dyDescent="0.35">
      <c r="A5" s="33">
        <v>3</v>
      </c>
      <c r="B5" s="54">
        <v>3.6</v>
      </c>
      <c r="C5" s="54">
        <v>4.3</v>
      </c>
      <c r="D5" s="54">
        <v>3.4</v>
      </c>
    </row>
    <row r="6" spans="1:4" x14ac:dyDescent="0.35">
      <c r="A6" s="33">
        <v>4</v>
      </c>
      <c r="B6" s="54">
        <v>3.5</v>
      </c>
      <c r="C6" s="54">
        <v>4.4000000000000004</v>
      </c>
      <c r="D6" s="54">
        <v>3.4</v>
      </c>
    </row>
    <row r="7" spans="1:4" x14ac:dyDescent="0.35">
      <c r="A7" s="33">
        <v>5</v>
      </c>
      <c r="B7" s="54">
        <v>3.8</v>
      </c>
      <c r="C7" s="54">
        <v>4.8</v>
      </c>
      <c r="D7" s="54">
        <v>3.6</v>
      </c>
    </row>
    <row r="8" spans="1:4" x14ac:dyDescent="0.35">
      <c r="A8" s="33">
        <v>6</v>
      </c>
      <c r="B8" s="54">
        <v>4.5999999999999996</v>
      </c>
      <c r="C8" s="54">
        <v>5.8</v>
      </c>
      <c r="D8" s="54">
        <v>4</v>
      </c>
    </row>
    <row r="9" spans="1:4" x14ac:dyDescent="0.35">
      <c r="A9" s="33">
        <v>7</v>
      </c>
      <c r="B9" s="54">
        <v>5.4</v>
      </c>
      <c r="C9" s="54">
        <v>6.8</v>
      </c>
      <c r="D9" s="54">
        <v>4.4000000000000004</v>
      </c>
    </row>
    <row r="10" spans="1:4" x14ac:dyDescent="0.35">
      <c r="A10" s="33">
        <v>8</v>
      </c>
      <c r="B10" s="54">
        <v>5.2</v>
      </c>
      <c r="C10" s="54">
        <v>6.2</v>
      </c>
      <c r="D10" s="54">
        <v>4.4000000000000004</v>
      </c>
    </row>
    <row r="11" spans="1:4" x14ac:dyDescent="0.35">
      <c r="A11" s="33">
        <v>9</v>
      </c>
      <c r="B11" s="54">
        <v>4</v>
      </c>
      <c r="C11" s="54">
        <v>4.5999999999999996</v>
      </c>
      <c r="D11" s="54">
        <v>4</v>
      </c>
    </row>
    <row r="12" spans="1:4" x14ac:dyDescent="0.35">
      <c r="A12" s="33">
        <v>10</v>
      </c>
      <c r="B12" s="54">
        <v>3</v>
      </c>
      <c r="C12" s="54">
        <v>3.2</v>
      </c>
      <c r="D12" s="54">
        <v>3.7</v>
      </c>
    </row>
    <row r="13" spans="1:4" x14ac:dyDescent="0.35">
      <c r="A13" s="33">
        <v>11</v>
      </c>
      <c r="B13" s="54">
        <v>2.6</v>
      </c>
      <c r="C13" s="54">
        <v>2.6</v>
      </c>
      <c r="D13" s="54">
        <v>3.5</v>
      </c>
    </row>
    <row r="14" spans="1:4" x14ac:dyDescent="0.35">
      <c r="A14" s="33">
        <v>12</v>
      </c>
      <c r="B14" s="54">
        <v>2.4</v>
      </c>
      <c r="C14" s="54">
        <v>2.2999999999999998</v>
      </c>
      <c r="D14" s="54">
        <v>3.4</v>
      </c>
    </row>
    <row r="15" spans="1:4" x14ac:dyDescent="0.35">
      <c r="A15" s="33">
        <v>13</v>
      </c>
      <c r="B15" s="54">
        <v>2.4</v>
      </c>
      <c r="C15" s="54">
        <v>2.2000000000000002</v>
      </c>
      <c r="D15" s="54">
        <v>3.4</v>
      </c>
    </row>
    <row r="16" spans="1:4" x14ac:dyDescent="0.35">
      <c r="A16" s="33">
        <v>14</v>
      </c>
      <c r="B16" s="54">
        <v>2.6</v>
      </c>
      <c r="C16" s="54">
        <v>2.5</v>
      </c>
      <c r="D16" s="54">
        <v>3.5</v>
      </c>
    </row>
    <row r="17" spans="1:4" x14ac:dyDescent="0.35">
      <c r="A17" s="33">
        <v>15</v>
      </c>
      <c r="B17" s="54">
        <v>3.1</v>
      </c>
      <c r="C17" s="54">
        <v>3.4</v>
      </c>
      <c r="D17" s="54">
        <v>3.7</v>
      </c>
    </row>
    <row r="18" spans="1:4" x14ac:dyDescent="0.35">
      <c r="A18" s="33">
        <v>16</v>
      </c>
      <c r="B18" s="54">
        <v>4</v>
      </c>
      <c r="C18" s="54">
        <v>5.2</v>
      </c>
      <c r="D18" s="54">
        <v>4.0999999999999996</v>
      </c>
    </row>
    <row r="19" spans="1:4" x14ac:dyDescent="0.35">
      <c r="A19" s="33">
        <v>17</v>
      </c>
      <c r="B19" s="54">
        <v>5.6</v>
      </c>
      <c r="C19" s="54">
        <v>7.4</v>
      </c>
      <c r="D19" s="54">
        <v>4.7</v>
      </c>
    </row>
    <row r="20" spans="1:4" x14ac:dyDescent="0.35">
      <c r="A20" s="33">
        <v>18</v>
      </c>
      <c r="B20" s="54">
        <v>7.2</v>
      </c>
      <c r="C20" s="54">
        <v>9.6</v>
      </c>
      <c r="D20" s="54">
        <v>5.4</v>
      </c>
    </row>
    <row r="21" spans="1:4" x14ac:dyDescent="0.35">
      <c r="A21" s="33">
        <v>19</v>
      </c>
      <c r="B21" s="54">
        <v>8.5</v>
      </c>
      <c r="C21" s="54">
        <v>10</v>
      </c>
      <c r="D21" s="54">
        <v>5.8</v>
      </c>
    </row>
    <row r="22" spans="1:4" x14ac:dyDescent="0.35">
      <c r="A22" s="33">
        <v>20</v>
      </c>
      <c r="B22" s="54">
        <v>8.9</v>
      </c>
      <c r="C22" s="54">
        <v>10</v>
      </c>
      <c r="D22" s="54">
        <v>5.7</v>
      </c>
    </row>
    <row r="23" spans="1:4" x14ac:dyDescent="0.35">
      <c r="A23" s="33">
        <v>21</v>
      </c>
      <c r="B23" s="54">
        <v>7.8</v>
      </c>
      <c r="C23" s="54">
        <v>9.1999999999999993</v>
      </c>
      <c r="D23" s="54">
        <v>5.2</v>
      </c>
    </row>
    <row r="24" spans="1:4" x14ac:dyDescent="0.35">
      <c r="A24" s="33">
        <v>22</v>
      </c>
      <c r="B24" s="54">
        <v>6.2</v>
      </c>
      <c r="C24" s="54">
        <v>7.4</v>
      </c>
      <c r="D24" s="54">
        <v>4.5999999999999996</v>
      </c>
    </row>
    <row r="25" spans="1:4" x14ac:dyDescent="0.35">
      <c r="A25" s="33">
        <v>23</v>
      </c>
      <c r="B25" s="54">
        <v>5</v>
      </c>
      <c r="C25" s="54">
        <v>6</v>
      </c>
      <c r="D25" s="54">
        <v>4.0999999999999996</v>
      </c>
    </row>
    <row r="27" spans="1:4" x14ac:dyDescent="0.35">
      <c r="A27" s="3" t="s">
        <v>157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00_Inputs</vt:lpstr>
      <vt:lpstr>01_Sizing</vt:lpstr>
      <vt:lpstr>02_Dispatch</vt:lpstr>
      <vt:lpstr>03_Revenue</vt:lpstr>
      <vt:lpstr>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Jai_PC</cp:lastModifiedBy>
  <dcterms:created xsi:type="dcterms:W3CDTF">2026-07-11T15:39:09Z</dcterms:created>
  <dcterms:modified xsi:type="dcterms:W3CDTF">2026-07-11T15:40:53Z</dcterms:modified>
</cp:coreProperties>
</file>